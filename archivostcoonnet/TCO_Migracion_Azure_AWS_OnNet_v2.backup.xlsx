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o.castillo\proyectos\mi-aws-pricing-calculator-mcp\archivostcoonnet\"/>
    </mc:Choice>
  </mc:AlternateContent>
  <xr:revisionPtr revIDLastSave="0" documentId="13_ncr:1_{53156B95-3EDA-4255-8B6A-CB669362EB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Resumen Ejecutivo TCO" sheetId="1" r:id="rId1"/>
    <sheet name="2. TCO 3 Años" sheetId="2" r:id="rId2"/>
    <sheet name="3. Costos por Ambiente" sheetId="3" r:id="rId3"/>
    <sheet name="4. FinOps Optimización" sheetId="4" r:id="rId4"/>
    <sheet name="5. Homologación Servicios" sheetId="5" r:id="rId5"/>
    <sheet name="6. Inversión y ROI" sheetId="6" r:id="rId6"/>
    <sheet name="7. Plan Migración y Riesgos" sheetId="7" r:id="rId7"/>
    <sheet name="8. ISO 25010 Calidad" sheetId="8" r:id="rId8"/>
  </sheets>
  <calcPr calcId="0"/>
</workbook>
</file>

<file path=xl/sharedStrings.xml><?xml version="1.0" encoding="utf-8"?>
<sst xmlns="http://schemas.openxmlformats.org/spreadsheetml/2006/main" count="731" uniqueCount="501">
  <si>
    <t>CASO DE NEGOCIO — MIGRACIÓN AZURE → AWS  |  OnNet</t>
  </si>
  <si>
    <t>Análisis de Costo Total de Propiedad (TCO) a 3 Años  |  Abril 2026</t>
  </si>
  <si>
    <t>GASTO AZURE ACTUAL
(Mensual)
$167,461</t>
  </si>
  <si>
    <t>GASTO AWS ESTIMADO
(Mensual On-Demand)
$100,967</t>
  </si>
  <si>
    <t>AHORRO MENSUAL
ESTIMADO
$66,494</t>
  </si>
  <si>
    <t>AHORRO ANUAL
ESTIMADO
$797,928</t>
  </si>
  <si>
    <t>AHORRO 3 AÑOS
(con Savings Plans)
$2.8M+</t>
  </si>
  <si>
    <t>ROI ESTIMADO
(Payback)
&lt; 12 meses</t>
  </si>
  <si>
    <t>Servicio Azure</t>
  </si>
  <si>
    <t>Servicio AWS Equivalente</t>
  </si>
  <si>
    <t>Estrategia</t>
  </si>
  <si>
    <t>Azure
Mensual</t>
  </si>
  <si>
    <t>Azure
Anual</t>
  </si>
  <si>
    <t>AWS On-Demand
Mensual</t>
  </si>
  <si>
    <t>AWS SP 1yr
Mensual</t>
  </si>
  <si>
    <t>AWS SP 3yr
Mensual</t>
  </si>
  <si>
    <t>Ahorro Mensual
(SP 3yr)</t>
  </si>
  <si>
    <t>Ahorro %
(SP 3yr)</t>
  </si>
  <si>
    <t>Ahorro Anual
(SP 3yr)</t>
  </si>
  <si>
    <t>Drivers de Ahorro</t>
  </si>
  <si>
    <t>on demand</t>
  </si>
  <si>
    <t>1 year</t>
  </si>
  <si>
    <t>3 years</t>
  </si>
  <si>
    <t>AKS Nodes (10 clusters, 76 nodos activos)</t>
  </si>
  <si>
    <t>Amazon EKS + Karpenter + EBS gp3</t>
  </si>
  <si>
    <t>Replatform</t>
  </si>
  <si>
    <t>https://calculator.aws/#/estimate?id=ab9b48fa6e478ba7bfaf28ed1ea8e6a67e6d170f</t>
  </si>
  <si>
    <t>https://calculator.aws/#/estimate?id=7c23c3f1f9c6cb888de6184877209a6bfad2b5ad</t>
  </si>
  <si>
    <t>VMs Standalone (112 VMs: ArcGIS, Blue Planet, Kafka, ServiceNow, PBI GW, DCs)</t>
  </si>
  <si>
    <t>Amazon EC2 (m6i/r6i/t3) + Auto Scaling Groups</t>
  </si>
  <si>
    <t>Rehost</t>
  </si>
  <si>
    <t>Lift &amp; Shift inicial a EC2. Right-sizing con Compute Optimizer post-migración (15-30% adicional). Savings Plans 1yr para cargas base (ArcGIS, DCs). Fuente: 112 VMs en inventario Azure (55 Prod + 19 QA + 4 Dev + 34 Hub).</t>
  </si>
  <si>
    <t>Storage (Discos + Cuentas)</t>
  </si>
  <si>
    <t>Amazon S3 + EBS gp3 + EFS</t>
  </si>
  <si>
    <t>S3 Intelligent-Tiering, gp3 vs Premium SSD, eliminación discos huérfanos</t>
  </si>
  <si>
    <t>Azure Databricks</t>
  </si>
  <si>
    <t>Databricks on AWS + Amazon S3 + Kinesis</t>
  </si>
  <si>
    <t>Retain/Replatform</t>
  </si>
  <si>
    <t>Infraestructura AWS 26% más barata, Graviton2, Spot para jobs</t>
  </si>
  <si>
    <t>Azure Database PostgreSQL</t>
  </si>
  <si>
    <t>Amazon Aurora PostgreSQL (Multi-AZ)</t>
  </si>
  <si>
    <t>Aurora Graviton3, Reserved Instances 1yr, eliminación instancias QA/Dev sobredimensionadas</t>
  </si>
  <si>
    <t>Microsoft Defender for Cloud</t>
  </si>
  <si>
    <t>AWS Security Hub + GuardDuty + Inspector</t>
  </si>
  <si>
    <t>Modelo pay-per-resource vs flat fee, consolidación en Security Hub</t>
  </si>
  <si>
    <t>API Management (APIM)</t>
  </si>
  <si>
    <t>Amazon API Gateway (REST + HTTP)</t>
  </si>
  <si>
    <t>Log Analytics / App Insights</t>
  </si>
  <si>
    <t>Amazon CloudWatch + X-Ray + OpenSearch</t>
  </si>
  <si>
    <t>CloudWatch $0.50/GB vs Log Analytics variable, retención configurable</t>
  </si>
  <si>
    <t>Azure Cosmos DB</t>
  </si>
  <si>
    <t>Amazon DocumentDB (MongoDB compat.)</t>
  </si>
  <si>
    <t>Graviton2 (r6g), Reserved Instances, eliminación RU/s fijos</t>
  </si>
  <si>
    <t>Backup / Recovery Vaults</t>
  </si>
  <si>
    <t>AWS Backup (centralizado)</t>
  </si>
  <si>
    <t>Consolidación en AWS Backup, lifecycle policies automáticas</t>
  </si>
  <si>
    <t>Azure Data Factory v2</t>
  </si>
  <si>
    <t>AWS Glue + Step Functions</t>
  </si>
  <si>
    <t>Glue serverless vs ADF Integration Runtime fijo</t>
  </si>
  <si>
    <t>Azure App Service / Plans</t>
  </si>
  <si>
    <t>AWS Elastic Beanstalk + Lambda + App Runner</t>
  </si>
  <si>
    <t>t3/m6i vs Premium P0v3 (65% ahorro), Lambda para Functions</t>
  </si>
  <si>
    <t>SQL Database / Servers</t>
  </si>
  <si>
    <t>Amazon RDS for SQL Server / Babelfish Aurora</t>
  </si>
  <si>
    <t>Reserved Instances, Babelfish elimina licencia SQL Server</t>
  </si>
  <si>
    <t>Virtual Network / Networking</t>
  </si>
  <si>
    <t>Amazon VPC + Transit Gateway + Route 53</t>
  </si>
  <si>
    <t>Transit Gateway consolida peerings, VPC Endpoints sin costo por conexión</t>
  </si>
  <si>
    <t>NAT Gateway</t>
  </si>
  <si>
    <t>AWS NAT Gateway (por AZ)</t>
  </si>
  <si>
    <t>Consolidación de NAT GW, optimización de data transfer</t>
  </si>
  <si>
    <t>Load Balancer</t>
  </si>
  <si>
    <t>AWS ALB + NLB</t>
  </si>
  <si>
    <t>ALB LCU-based pricing más eficiente para tráfico variable</t>
  </si>
  <si>
    <t>Container Registry (ACR)</t>
  </si>
  <si>
    <t>Amazon ECR</t>
  </si>
  <si>
    <t>ECR pricing por GB almacenado, sin tier fijo</t>
  </si>
  <si>
    <t>Application Gateway</t>
  </si>
  <si>
    <t>AWS ALB + AWS WAF</t>
  </si>
  <si>
    <t>WAF pay-per-rule vs App Gateway WAF v2 fijo</t>
  </si>
  <si>
    <t>Azure DevOps</t>
  </si>
  <si>
    <t>AWS CodePipeline + CodeBuild + GitHub Actions</t>
  </si>
  <si>
    <t>CodeBuild pay-per-minute, consolidación de pipelines</t>
  </si>
  <si>
    <t>Azure Front Door</t>
  </si>
  <si>
    <t>Amazon CloudFront + Route 53</t>
  </si>
  <si>
    <t>CloudFront pricing por GB transferido, sin cargo fijo mensual</t>
  </si>
  <si>
    <t>VPN Gateway</t>
  </si>
  <si>
    <t>AWS Site-to-Site VPN + Transit Gateway</t>
  </si>
  <si>
    <t>Transit Gateway consolida conectividad, elimina VPN GW redundantes</t>
  </si>
  <si>
    <t>Sentinel</t>
  </si>
  <si>
    <t>Amazon Security Lake + AWS Detective</t>
  </si>
  <si>
    <t>Security Lake pay-per-GB, Detective por cuenta analizada</t>
  </si>
  <si>
    <t>Container Instances (ACI)</t>
  </si>
  <si>
    <t>AWS Fargate (ECS)</t>
  </si>
  <si>
    <t>Fargate Spot para workloads tolerantes a interrupción</t>
  </si>
  <si>
    <t>Otros (Synapse, EventHub, etc)</t>
  </si>
  <si>
    <t>MSK serverless, Redshift RA3 con separación compute/storage</t>
  </si>
  <si>
    <t>TOTAL GENERAL</t>
  </si>
  <si>
    <t>⚠️  Notas: Costos Azure basados en Cost Management exports (2026-04-17). AKS: calculado cluster x cluster desde inventario real validado (10 clusters running, 76 nodos activos). Estimados AWS alineados con calculadoras AWS para On-Demand, Savings Plan 1 año y Savings Plan 3 años. SP 1yr = ~17.4% ahorro vs Azure. SP 3yr = ~36.8% ahorro vs Azure. No incluye costos one-time de migración.</t>
  </si>
  <si>
    <t>ANÁLISIS TCO A 3 AÑOS — AZURE vs AWS</t>
  </si>
  <si>
    <t>Proyección mensual acumulada con escenarios de optimización</t>
  </si>
  <si>
    <t>Año</t>
  </si>
  <si>
    <t>Período</t>
  </si>
  <si>
    <t>Azure Acumulado</t>
  </si>
  <si>
    <t>AWS On-Demand Acum.</t>
  </si>
  <si>
    <t>AWS SP 1yr Acum.</t>
  </si>
  <si>
    <t>AWS SP 3yr Acum.</t>
  </si>
  <si>
    <t>Ahorro OD Acum.</t>
  </si>
  <si>
    <t>Ahorro SP1 Acum.</t>
  </si>
  <si>
    <t>Ahorro SP3 Acum.</t>
  </si>
  <si>
    <t>Ahorro SP3 Neto
(vs Inversión)</t>
  </si>
  <si>
    <t>ROI SP3 %</t>
  </si>
  <si>
    <t>Año 1 (Meses 1-12)</t>
  </si>
  <si>
    <t>Año 2 (Meses 13-24)</t>
  </si>
  <si>
    <t>Año 1</t>
  </si>
  <si>
    <t>Año 3 (Meses 25-36)</t>
  </si>
  <si>
    <t>Año 2</t>
  </si>
  <si>
    <t>Año 3</t>
  </si>
  <si>
    <t>PROYECCIÓN MENSUAL ACUMULADA (36 MESES)</t>
  </si>
  <si>
    <t>Mes</t>
  </si>
  <si>
    <t>Ahorro Acumulado SP3</t>
  </si>
  <si>
    <t>DESGLOSE DE COSTOS POR AMBIENTE — AZURE vs AWS</t>
  </si>
  <si>
    <t>Comparativa mensual por suscripción/ambiente</t>
  </si>
  <si>
    <t>Servicio</t>
  </si>
  <si>
    <t>Prod Azure</t>
  </si>
  <si>
    <t>Prod AWS SP3</t>
  </si>
  <si>
    <t>QA Azure</t>
  </si>
  <si>
    <t>QA AWS SP3</t>
  </si>
  <si>
    <t>Dev Azure</t>
  </si>
  <si>
    <t>Dev AWS SP3</t>
  </si>
  <si>
    <t>Hub Azure</t>
  </si>
  <si>
    <t>Hub AWS SP3</t>
  </si>
  <si>
    <t>Total Azure</t>
  </si>
  <si>
    <t>Virtual Machines / AKS Nodes</t>
  </si>
  <si>
    <t>TOTAL</t>
  </si>
  <si>
    <t>DISTRIBUCIÓN DE COSTOS POR AMBIENTE</t>
  </si>
  <si>
    <t>Ambiente</t>
  </si>
  <si>
    <t>Azure Mensual</t>
  </si>
  <si>
    <t>AWS SP3 Mensual</t>
  </si>
  <si>
    <t>Prod</t>
  </si>
  <si>
    <t>QA</t>
  </si>
  <si>
    <t>Dev</t>
  </si>
  <si>
    <t>Hub</t>
  </si>
  <si>
    <t>ESTRATEGIAS FINOPS — OPTIMIZACIÓN DE COSTOS AWS</t>
  </si>
  <si>
    <t>Impacto financiero de Savings Plans, Reserved Instances, Spot y Right-Sizing</t>
  </si>
  <si>
    <t>Estrategia FinOps</t>
  </si>
  <si>
    <t>Servicio Aplicable</t>
  </si>
  <si>
    <t>Descuento
Estimado</t>
  </si>
  <si>
    <t>Costo Base
(On-Demand)</t>
  </si>
  <si>
    <t>Costo Optimizado</t>
  </si>
  <si>
    <t>Ahorro Mensual</t>
  </si>
  <si>
    <t>Ahorro Anual</t>
  </si>
  <si>
    <t>Plazo
Implementación</t>
  </si>
  <si>
    <t>Complejidad</t>
  </si>
  <si>
    <t>Prioridad</t>
  </si>
  <si>
    <t>Compute Savings Plans 1yr</t>
  </si>
  <si>
    <t>EKS Nodes (EC2 m6i/r6i)</t>
  </si>
  <si>
    <t>Mes 3-6</t>
  </si>
  <si>
    <t>Baja</t>
  </si>
  <si>
    <t>Alta</t>
  </si>
  <si>
    <t>Compute Savings Plans 3yr</t>
  </si>
  <si>
    <t>Mes 6-12</t>
  </si>
  <si>
    <t>Reserved Instances 1yr (Aurora)</t>
  </si>
  <si>
    <t>Amazon Aurora PostgreSQL</t>
  </si>
  <si>
    <t>Reserved Instances 3yr (Aurora)</t>
  </si>
  <si>
    <t>Reserved Instances (DocumentDB)</t>
  </si>
  <si>
    <t>Amazon DocumentDB</t>
  </si>
  <si>
    <t>Media</t>
  </si>
  <si>
    <t>Spot Instances (Dev/QA EKS)</t>
  </si>
  <si>
    <t>EKS Dev/QA Node Groups</t>
  </si>
  <si>
    <t>Mes 1-3</t>
  </si>
  <si>
    <t>Karpenter Autoscaling</t>
  </si>
  <si>
    <t>Todos los clusters EKS</t>
  </si>
  <si>
    <t>Mes 2-4</t>
  </si>
  <si>
    <t>Right-Sizing (Compute Optimizer)</t>
  </si>
  <si>
    <t>EC2 / EKS Nodes</t>
  </si>
  <si>
    <t>Mes 1-2</t>
  </si>
  <si>
    <t>S3 Intelligent-Tiering</t>
  </si>
  <si>
    <t>Amazon S3 (Data Lake)</t>
  </si>
  <si>
    <t>Mes 1</t>
  </si>
  <si>
    <t>Graviton3 Instances (Aurora/DocDB)</t>
  </si>
  <si>
    <t>RDS Aurora + DocumentDB</t>
  </si>
  <si>
    <t>API Gateway Pay-per-Use</t>
  </si>
  <si>
    <t>Amazon API Gateway (vs APIM Premium)</t>
  </si>
  <si>
    <t>Crítica</t>
  </si>
  <si>
    <t>CloudWatch vs Log Analytics</t>
  </si>
  <si>
    <t>Amazon CloudWatch Logs</t>
  </si>
  <si>
    <t>Fargate Spot (Batch Jobs)</t>
  </si>
  <si>
    <t>ECS Fargate / Databricks Jobs</t>
  </si>
  <si>
    <t>Databricks Committed Use</t>
  </si>
  <si>
    <t>Databricks on AWS (DBUs)</t>
  </si>
  <si>
    <t>EKS Stopped Clusters Cleanup</t>
  </si>
  <si>
    <t>3 clusters Dev detenidos</t>
  </si>
  <si>
    <t>IMPACTO TOTAL ESTRATEGIAS FINOPS</t>
  </si>
  <si>
    <t>IMPACTO FINANCIERO POR ESTRATEGIA FINOPS</t>
  </si>
  <si>
    <t>Reserved Instances 1yr (A</t>
  </si>
  <si>
    <t>Reserved Instances 3yr (A</t>
  </si>
  <si>
    <t>Reserved Instances (Docum</t>
  </si>
  <si>
    <t>Spot Instances (Dev/QA EK</t>
  </si>
  <si>
    <t>Right-Sizing (Compute Opt</t>
  </si>
  <si>
    <t>Graviton3 Instances (Auro</t>
  </si>
  <si>
    <t>CloudWatch vs Log Analyti</t>
  </si>
  <si>
    <t>EKS Stopped Clusters Clea</t>
  </si>
  <si>
    <t>MAPEO TÉCNICO: SERVICIOS AZURE → AWS</t>
  </si>
  <si>
    <t>Trade-offs y justificación técnica por servicio</t>
  </si>
  <si>
    <t>Tier/SKU</t>
  </si>
  <si>
    <t>Servicio AWS</t>
  </si>
  <si>
    <t>Disponibilidad
Azure</t>
  </si>
  <si>
    <t>Disponibilidad
AWS</t>
  </si>
  <si>
    <t>Trade-off Principal</t>
  </si>
  <si>
    <t>Ventaja AWS</t>
  </si>
  <si>
    <t>Riesgo Migración</t>
  </si>
  <si>
    <t>Esfuerzo</t>
  </si>
  <si>
    <t>AKS (Kubernetes)</t>
  </si>
  <si>
    <t>Free tier CP</t>
  </si>
  <si>
    <t>Amazon EKS</t>
  </si>
  <si>
    <t>99.95% SLA</t>
  </si>
  <si>
    <t>EKS representa ~10 control planes (~$730/mes) mas nodos, storage y networking; AKS no cobra control plane directo</t>
  </si>
  <si>
    <t>Karpenter autoscaling, Graviton3, mejor integración IAM (IRSA)</t>
  </si>
  <si>
    <t>Azure App Service</t>
  </si>
  <si>
    <t>B1/B2/P0v3</t>
  </si>
  <si>
    <t>Elastic Beanstalk + Lambda</t>
  </si>
  <si>
    <t>99.99% SLA</t>
  </si>
  <si>
    <t>Cambio de modelo PaaS a IaaS-managed requiere ajuste de pipelines</t>
  </si>
  <si>
    <t>65% ahorro en P0v3, Lambda serverless elimina costo base</t>
  </si>
  <si>
    <t>Reconfiguración de CI/CD pipelines</t>
  </si>
  <si>
    <t>Azure API Management</t>
  </si>
  <si>
    <t>Premium (2 units)</t>
  </si>
  <si>
    <t>Amazon API Gateway</t>
  </si>
  <si>
    <t>Políticas XML → Mapping Templates VTL (reescritura requerida)</t>
  </si>
  <si>
    <t>95% ahorro, Multi-AZ nativo sin Secondary Units, pay-per-use</t>
  </si>
  <si>
    <t>Reescritura de políticas APIM (alto esfuerzo)</t>
  </si>
  <si>
    <t>PostgreSQL Flexible</t>
  </si>
  <si>
    <t>v14/15/16</t>
  </si>
  <si>
    <t>Aurora usa storage distribuido vs PostgreSQL estándar</t>
  </si>
  <si>
    <t>Failover &lt;30s, Graviton3, hasta 5x throughput vs PostgreSQL estándar</t>
  </si>
  <si>
    <t>Validación de extensiones PostgreSQL específicas</t>
  </si>
  <si>
    <t>Premium</t>
  </si>
  <si>
    <t>Databricks on AWS</t>
  </si>
  <si>
    <t>99.9% SLA</t>
  </si>
  <si>
    <t>Misma plataforma, diferente infraestructura subyacente</t>
  </si>
  <si>
    <t>S3 15% más barato que ADLS, Graviton2 para clusters, Spot jobs</t>
  </si>
  <si>
    <t>Migración de datos ADLS Gen2 → S3 (validación integridad)</t>
  </si>
  <si>
    <t>Cosmos DB (MongoDB API)</t>
  </si>
  <si>
    <t>Serverless/Provisioned</t>
  </si>
  <si>
    <t>99.999% SLA</t>
  </si>
  <si>
    <t>DocumentDB no soporta todas las operaciones MongoDB 5.x</t>
  </si>
  <si>
    <t>Graviton2 (r6g), pricing predecible, mejor relación precio/rendimiento</t>
  </si>
  <si>
    <t>Compatibilidad MongoDB API (validar operadores específicos)</t>
  </si>
  <si>
    <t>Azure Data Factory</t>
  </si>
  <si>
    <t>v2</t>
  </si>
  <si>
    <t>Glue usa PySpark/Python vs ADF visual designer</t>
  </si>
  <si>
    <t>Serverless ETL, sin Integration Runtime fijo, mejor integración S3/Redshift</t>
  </si>
  <si>
    <t>Reescritura de pipelines ADF en Glue Jobs</t>
  </si>
  <si>
    <t>Standard/Premium</t>
  </si>
  <si>
    <t>CloudFront no tiene WAF integrado nativo (requiere AWS WAF adicional)</t>
  </si>
  <si>
    <t>Mayor red de PoPs (600+ vs 130+), mejor pricing por GB transferido</t>
  </si>
  <si>
    <t>Reconfiguración de reglas de routing y WAF</t>
  </si>
  <si>
    <t>Azure APIM Log Analytics</t>
  </si>
  <si>
    <t>$2,022/mes</t>
  </si>
  <si>
    <t>CloudWatch menos features analíticos que Log Analytics</t>
  </si>
  <si>
    <t>82% ahorro ($2,022 → $200/mes), OpenSearch para análisis avanzado</t>
  </si>
  <si>
    <t>Migración de queries KQL → CloudWatch Insights</t>
  </si>
  <si>
    <t>Azure Sentinel</t>
  </si>
  <si>
    <t>SIEM</t>
  </si>
  <si>
    <t>Amazon Security Lake + Security Hub</t>
  </si>
  <si>
    <t>Security Hub menos maduro como SIEM que Sentinel</t>
  </si>
  <si>
    <t>Integración nativa con GuardDuty, Inspector, Detective</t>
  </si>
  <si>
    <t>Migración de reglas de detección y playbooks</t>
  </si>
  <si>
    <t>CentralHub</t>
  </si>
  <si>
    <t>AWS CodePipeline + CodeBuild</t>
  </si>
  <si>
    <t>Cambio de herramienta CI/CD requiere migración de pipelines YAML</t>
  </si>
  <si>
    <t>Integración nativa con EKS, ECR, CodeDeploy; pay-per-build-minute</t>
  </si>
  <si>
    <t>Migración de pipelines Azure DevOps (alto esfuerzo)</t>
  </si>
  <si>
    <t>Azure VPN Gateway</t>
  </si>
  <si>
    <t>VpnGw2 Gen2</t>
  </si>
  <si>
    <t>AWS Transit Gateway + Site-to-Site VPN</t>
  </si>
  <si>
    <t>Transit Gateway tiene costo por attachment ($0.05/hr) y datos procesados</t>
  </si>
  <si>
    <t>Hub centralizado elimina mesh de peerings, mejor escalabilidad</t>
  </si>
  <si>
    <t>Reconfiguración de rutas y BGP</t>
  </si>
  <si>
    <t>Basic/Standard</t>
  </si>
  <si>
    <t>ECR cobra por GB almacenado vs ACR tier fijo</t>
  </si>
  <si>
    <t>Integración nativa con EKS, IAM policies granulares, lifecycle policies</t>
  </si>
  <si>
    <t>Actualización de referencias de imagen en manifiestos K8s</t>
  </si>
  <si>
    <t>Azure Backup</t>
  </si>
  <si>
    <t>Recovery Vaults</t>
  </si>
  <si>
    <t>AWS Backup</t>
  </si>
  <si>
    <t>AWS Backup requiere configuración de vault policies por servicio</t>
  </si>
  <si>
    <t>Consola centralizada, cross-account backup, lifecycle automático</t>
  </si>
  <si>
    <t>Recreación de políticas de backup y retención</t>
  </si>
  <si>
    <t>Azure Key Vault</t>
  </si>
  <si>
    <t>Standard</t>
  </si>
  <si>
    <t>AWS Secrets Manager + KMS</t>
  </si>
  <si>
    <t>Secrets Manager cobra $0.40/secreto/mes vs Key Vault por operación</t>
  </si>
  <si>
    <t>Rotación automática nativa, integración con RDS/EKS/Lambda</t>
  </si>
  <si>
    <t>Migración de secretos y actualización de referencias en apps</t>
  </si>
  <si>
    <t>INVERSIÓN DE MIGRACIÓN Y ANÁLISIS DE ROI</t>
  </si>
  <si>
    <t>Costos one-time de migración y punto de equilibrio financiero</t>
  </si>
  <si>
    <t>DESGLOSE DE INVERSIÓN ONE-TIME</t>
  </si>
  <si>
    <t>Concepto de Inversión</t>
  </si>
  <si>
    <t>Descripción</t>
  </si>
  <si>
    <t>Costo USD</t>
  </si>
  <si>
    <t>% del Total</t>
  </si>
  <si>
    <t>Servicios Profesionales AWS (Partner)</t>
  </si>
  <si>
    <t>AWS Partner Network: arquitectura, migración, validación</t>
  </si>
  <si>
    <t>Capacitación y Certificaciones AWS</t>
  </si>
  <si>
    <t>AWS Solutions Architect, DevOps Engineer, SysOps (equipo de 10)</t>
  </si>
  <si>
    <t>Herramientas de Migración (MGN, DMS, DataSync)</t>
  </si>
  <si>
    <t>AWS Application Migration Service, DMS, DataSync licencias</t>
  </si>
  <si>
    <t>Costos de Ejecución Paralela (overlap 3 meses)</t>
  </si>
  <si>
    <t>3 meses de operación dual Azure+AWS durante cutover</t>
  </si>
  <si>
    <t>Contingencia (15%)</t>
  </si>
  <si>
    <t>Buffer para imprevistos y scope creep</t>
  </si>
  <si>
    <t>INVERSIÓN TOTAL ONE-TIME</t>
  </si>
  <si>
    <t>ANÁLISIS DE RETORNO DE INVERSIÓN (ROI)</t>
  </si>
  <si>
    <t>Métrica</t>
  </si>
  <si>
    <t>Valor</t>
  </si>
  <si>
    <t>Gasto Azure Mensual Actual</t>
  </si>
  <si>
    <t>Gasto AWS Mensual (SP 3yr)</t>
  </si>
  <si>
    <t>Ahorro Mensual Neto</t>
  </si>
  <si>
    <t>Ahorro Anual Neto</t>
  </si>
  <si>
    <t>Inversión Total One-Time</t>
  </si>
  <si>
    <t>Payback Period (meses)</t>
  </si>
  <si>
    <t>2.0 meses</t>
  </si>
  <si>
    <t>ROI Año 1 (neto)</t>
  </si>
  <si>
    <t>ROI Año 2 (neto)</t>
  </si>
  <si>
    <t>ROI Año 3 (neto)</t>
  </si>
  <si>
    <t>ROI % Año 3</t>
  </si>
  <si>
    <t>CURVA DE PAYBACK — ACUMULADO 36 MESES</t>
  </si>
  <si>
    <t>PLAN DE MIGRACIÓN EN FASES Y GESTIÓN DE RIESGOS</t>
  </si>
  <si>
    <t>Marco: Evaluar → Movilizar → Migrar → Modernizar</t>
  </si>
  <si>
    <t>ROADMAP DE MIGRACIÓN — 4 FASES (14-18 MESES)</t>
  </si>
  <si>
    <t xml:space="preserve">  FASE 1: EVALUAR  |  Meses 1-2  |  Presupuesto: $15,000 - $20,000</t>
  </si>
  <si>
    <t xml:space="preserve">  ✓  AWS Control Tower + Landing Zone (Multi-Account)</t>
  </si>
  <si>
    <t>Equipos:
• Arquitecto AWS Solutions
• Equipo de Redes
• Equipo de Seguridad</t>
  </si>
  <si>
    <t xml:space="preserve">  ✓  Federación IAM Identity Center ↔ Azure AD (SAML 2.0)</t>
  </si>
  <si>
    <t xml:space="preserve">  ✓  Transit Gateway + VPCs (Hub, Prod, QA, Dev)</t>
  </si>
  <si>
    <t xml:space="preserve">  ✓  Site-to-Site VPN hacia On-Premise</t>
  </si>
  <si>
    <t xml:space="preserve">  ✓  Inventario completo de dependencias y APIs</t>
  </si>
  <si>
    <t xml:space="preserve">  ✓  POC: Migración cluster EKS Dev + Aurora PostgreSQL Dev</t>
  </si>
  <si>
    <t xml:space="preserve">  FASE 2: MOVILIZAR  |  Meses 3-5  |  Presupuesto: $35,000 - $45,000</t>
  </si>
  <si>
    <t xml:space="preserve">  ✓  Migración Ola 1 — Datos: DMS PostgreSQL → Aurora (CDC)</t>
  </si>
  <si>
    <t>Equipos:
• Equipo de Datos
• Equipo DevOps
• Equipo de Aplicaciones</t>
  </si>
  <si>
    <t xml:space="preserve">  ✓  Migración Ola 1 — NoSQL: Cosmos DB → DocumentDB</t>
  </si>
  <si>
    <t xml:space="preserve">  ✓  Migración Ola 2 — Kubernetes: AKS Dev/QA → EKS</t>
  </si>
  <si>
    <t xml:space="preserve">  ✓  Configuración ECR, CodePipeline, CodeBuild</t>
  </si>
  <si>
    <t xml:space="preserve">  ✓  Migración App Service Dev/QA → Elastic Beanstalk/Lambda</t>
  </si>
  <si>
    <t xml:space="preserve">  ✓  Validación de seguridad: Security Hub, GuardDuty, KMS</t>
  </si>
  <si>
    <t xml:space="preserve">  FASE 3: MIGRAR  |  Meses 6-12  |  Presupuesto: $40,000 - $55,000</t>
  </si>
  <si>
    <t xml:space="preserve">  ✓  Migración Ola 3 — Producción: AKS Prod → EKS (blue-green)</t>
  </si>
  <si>
    <t>Equipos:
• Equipo de Producción
• Equipo de Datos
• Change Management</t>
  </si>
  <si>
    <t xml:space="preserve">  ✓  Cutover APIM → API Gateway (con rollback plan)</t>
  </si>
  <si>
    <t xml:space="preserve">  ✓  Migración Databricks Azure → Databricks on AWS</t>
  </si>
  <si>
    <t xml:space="preserve">  ✓  Migración Data Factory → AWS Glue + Step Functions</t>
  </si>
  <si>
    <t xml:space="preserve">  ✓  Cutover DNS: Azure Front Door → CloudFront + Route 53</t>
  </si>
  <si>
    <t xml:space="preserve">  ✓  Descomisionamiento progresivo de recursos Azure</t>
  </si>
  <si>
    <t xml:space="preserve">  FASE 4: MODERNIZAR  |  Meses 13-18  |  Presupuesto: $10,000 - $15,000</t>
  </si>
  <si>
    <t xml:space="preserve">  ✓  Implementar Karpenter para autoscaling EKS</t>
  </si>
  <si>
    <t>Equipos:
• Equipo de Plataforma
• Equipo FinOps
• Arquitectura</t>
  </si>
  <si>
    <t xml:space="preserve">  ✓  Activar Compute Savings Plans + Reserved Instances</t>
  </si>
  <si>
    <t xml:space="preserve">  ✓  Migrar Kafka VMs → Amazon MSK (Managed Kafka)</t>
  </si>
  <si>
    <t xml:space="preserve">  ✓  Implementar AWS Lake Formation (Data Governance)</t>
  </si>
  <si>
    <t xml:space="preserve">  ✓  Right-sizing con AWS Compute Optimizer</t>
  </si>
  <si>
    <t xml:space="preserve">  ✓  FinOps Dashboard: Cost Explorer + Anomaly Detection</t>
  </si>
  <si>
    <t>REGISTRO DE RIESGOS Y PLANES DE MITIGACIÓN</t>
  </si>
  <si>
    <t>Riesgo</t>
  </si>
  <si>
    <t>Categoría</t>
  </si>
  <si>
    <t>Impacto</t>
  </si>
  <si>
    <t>Probabilidad</t>
  </si>
  <si>
    <t>Nivel de Riesgo</t>
  </si>
  <si>
    <t>Plan de Mitigación</t>
  </si>
  <si>
    <t>Responsable</t>
  </si>
  <si>
    <t>Estado</t>
  </si>
  <si>
    <t>Vendor lock-in en servicios AWS propietarios</t>
  </si>
  <si>
    <t>Estratégico</t>
  </si>
  <si>
    <t>Alto</t>
  </si>
  <si>
    <t>Usar Kubernetes (EKS) y Terraform para portabilidad. Evitar servicios sin equivalente open-source.</t>
  </si>
  <si>
    <t>Arquitectura</t>
  </si>
  <si>
    <t>Activo</t>
  </si>
  <si>
    <t>Pérdida de datos durante migración de BD</t>
  </si>
  <si>
    <t>Técnico</t>
  </si>
  <si>
    <t>Crítico</t>
  </si>
  <si>
    <t>DMS con CDC para replicación continua. Validación de checksums. Rollback plan con Azure activo 30 días post-cutover.</t>
  </si>
  <si>
    <t>Equipo de Datos</t>
  </si>
  <si>
    <t>Interrupción de servicio en cutover Producción</t>
  </si>
  <si>
    <t>Operacional</t>
  </si>
  <si>
    <t>Migración blue-green por cluster. Ventanas de mantenimiento nocturnas. Rollback automático si error rate &gt; 1%.</t>
  </si>
  <si>
    <t>Equipo Prod</t>
  </si>
  <si>
    <t>Curva de aprendizaje AWS del equipo</t>
  </si>
  <si>
    <t>Organizacional</t>
  </si>
  <si>
    <t>Medio</t>
  </si>
  <si>
    <t>Plan de capacitación: AWS Solutions Architect (10 personas), AWS DevOps Engineer (5 personas). Inicio Mes 1.</t>
  </si>
  <si>
    <t>RRHH + CTO</t>
  </si>
  <si>
    <t>Costos ocultos de transferencia de datos</t>
  </si>
  <si>
    <t>Financiero</t>
  </si>
  <si>
    <t>Auditoría de data transfer antes de migración. VPC Endpoints para servicios AWS. Monitoreo con Cost Anomaly Detection.</t>
  </si>
  <si>
    <t>FinOps</t>
  </si>
  <si>
    <t>Incompatibilidad de versiones K8s (1.33 en EKS)</t>
  </si>
  <si>
    <t>Downgrade a K8s 1.32 en clusters afectados antes de migración. EKS soporta 1.28-1.32.</t>
  </si>
  <si>
    <t>Equipo DevOps</t>
  </si>
  <si>
    <t>Reescritura de políticas APIM (XML → VTL)</t>
  </si>
  <si>
    <t>Inventario completo de políticas APIM. Asignar 2 desarrolladores dedicados. Plazo: 8 semanas.</t>
  </si>
  <si>
    <t>Equipo Integración</t>
  </si>
  <si>
    <t>Resistencia organizacional al cambio</t>
  </si>
  <si>
    <t>Change management plan. Comunicación ejecutiva mensual. Champions por equipo.</t>
  </si>
  <si>
    <t>PMO + CTO</t>
  </si>
  <si>
    <t>Incompatibilidad MongoDB API en DocumentDB</t>
  </si>
  <si>
    <t>Validar operadores MongoDB usados en Cosmos DB. Pruebas de compatibilidad en QA antes de Prod.</t>
  </si>
  <si>
    <t>Expiración de soporte Azure (VPN Non-AZ sept 2026)</t>
  </si>
  <si>
    <t>Priorizar migración de VPN Gateway en Fase 1. Deadline: agosto 2026.</t>
  </si>
  <si>
    <t>Equipo de Redes</t>
  </si>
  <si>
    <t>Urgente</t>
  </si>
  <si>
    <t>ANÁLISIS ISO 25010 — ATRIBUTOS DE CALIDAD: AZURE vs AWS</t>
  </si>
  <si>
    <t>Evaluación rigurosa de la arquitectura objetivo en AWS según norma ISO/IEC 25010:2023</t>
  </si>
  <si>
    <t>Atributo ISO 25010</t>
  </si>
  <si>
    <t>Sub-característica</t>
  </si>
  <si>
    <t>Evaluación Azure
(Actual)</t>
  </si>
  <si>
    <t>Score
Azure</t>
  </si>
  <si>
    <t>Evaluación AWS
(Objetivo)</t>
  </si>
  <si>
    <t>Score
AWS</t>
  </si>
  <si>
    <t>Delta</t>
  </si>
  <si>
    <t>Evidencia / Justificación</t>
  </si>
  <si>
    <t>Eficiencia de
Desempeño</t>
  </si>
  <si>
    <t>Comportamiento Temporal</t>
  </si>
  <si>
    <t>AKS autoscaling reactivo (5-10 min). APIM Premium con latencia fija por unidad.</t>
  </si>
  <si>
    <t>EKS + Karpenter: provisioning en &lt;2 min. API Gateway serverless con latencia &lt;10ms p99.</t>
  </si>
  <si>
    <t>+1.0</t>
  </si>
  <si>
    <t>Karpenter benchmarks: 2x más rápido que Cluster Autoscaler. API GW SLA 99.95%.</t>
  </si>
  <si>
    <t>Utilización de Recursos</t>
  </si>
  <si>
    <t>VMs sobredimensionadas (AKS D64s_v3 en QA). APIM Premium activo 24/7 sin tráfico.</t>
  </si>
  <si>
    <t>Right-sizing con Compute Optimizer. Spot instances Dev/QA. API GW pay-per-use.</t>
  </si>
  <si>
    <t>+1.5</t>
  </si>
  <si>
    <t>Compute Optimizer identifica 15-30% de recursos sobredimensionados. Spot ahorra 70%.</t>
  </si>
  <si>
    <t>Capacidad (Throughput)</t>
  </si>
  <si>
    <t>AKS con max_pods=30-100. APIM Premium: 4,000 req/s por unidad.</t>
  </si>
  <si>
    <t>EKS sin límite de pods por nodo (VPC CNI). API GW: 10,000 req/s por defecto, escalable.</t>
  </si>
  <si>
    <t>API GW default throttle 10K req/s, aumentable. EKS VPC CNI elimina límite de pods.</t>
  </si>
  <si>
    <t>Fiabilidad</t>
  </si>
  <si>
    <t>Madurez</t>
  </si>
  <si>
    <t>AKS versiones 1.28-1.33. Azure SLA 99.95% para AKS. APIM Premium 99.95%.</t>
  </si>
  <si>
    <t>EKS versiones 1.28-1.32. AWS SLA 99.95% EKS. API GW 99.95%. Aurora 99.99%.</t>
  </si>
  <si>
    <t>+0.5</t>
  </si>
  <si>
    <t>AWS tiene mayor historial de uptime. Aurora 99.99% vs PostgreSQL Flexible 99.99%.</t>
  </si>
  <si>
    <t>Disponibilidad</t>
  </si>
  <si>
    <t>AKS Multi-AZ disponible. APIM Secondary Unit para HA ($1,794/mes extra).</t>
  </si>
  <si>
    <t>EKS Multi-AZ nativo. API GW Multi-AZ sin costo adicional. Aurora Multi-AZ incluido.</t>
  </si>
  <si>
    <t>AWS Multi-AZ es el default sin sobrecosto. Azure cobra por HA en APIM y otros servicios.</t>
  </si>
  <si>
    <t>Tolerancia a Fallos</t>
  </si>
  <si>
    <t>Azure Site Recovery para VMs. AKS pod disruption budgets. Cosmos DB multi-region.</t>
  </si>
  <si>
    <t>AWS Elastic Disaster Recovery. EKS pod disruption budgets. Aurora Global Database.</t>
  </si>
  <si>
    <t>Aurora Global Database: RPO &lt;1s, RTO &lt;1min. AWS DRS: RPO minutos, RTO &lt;1hr.</t>
  </si>
  <si>
    <t>Recuperabilidad</t>
  </si>
  <si>
    <t>Azure Backup con Recovery Vaults. RTO/RPO variable por servicio.</t>
  </si>
  <si>
    <t>AWS Backup centralizado. Aurora: backup continuo, point-in-time recovery hasta 35 días.</t>
  </si>
  <si>
    <t>Aurora PITR granularidad 1 segundo. AWS Backup cross-account y cross-region nativo.</t>
  </si>
  <si>
    <t>Seguridad</t>
  </si>
  <si>
    <t>Confidencialidad</t>
  </si>
  <si>
    <t>Azure Key Vault + Managed Identity. Entra ID para autenticación. TLS 1.2+.</t>
  </si>
  <si>
    <t>AWS KMS + Secrets Manager. IAM Roles (IRSA). TLS 1.3. Encryption at rest por defecto.</t>
  </si>
  <si>
    <t>AWS KMS integrado en todos los servicios. IRSA elimina credenciales en pods K8s.</t>
  </si>
  <si>
    <t>Integridad</t>
  </si>
  <si>
    <t>Azure Policy + Defender for Cloud. NSGs para segmentación. Sentinel SIEM.</t>
  </si>
  <si>
    <t>AWS Config + Security Hub. Security Groups + NACLs. GuardDuty ML-based threat detection.</t>
  </si>
  <si>
    <t>GuardDuty usa ML para detección de amenazas. Security Hub agrega findings de 30+ servicios.</t>
  </si>
  <si>
    <t>Responsabilidad
(Accountability)</t>
  </si>
  <si>
    <t>Azure Activity Log + Sentinel. Log Analytics para auditoría. Defender for Cloud.</t>
  </si>
  <si>
    <t>AWS CloudTrail (inmutable). CloudWatch Logs. Security Lake para análisis forense.</t>
  </si>
  <si>
    <t>CloudTrail es inmutable por diseño. Security Lake centraliza logs en formato OCSF estándar.</t>
  </si>
  <si>
    <t>Mantenibilidad</t>
  </si>
  <si>
    <t>Modularidad</t>
  </si>
  <si>
    <t>AKS con Helm charts. Azure DevOps pipelines. ARM Templates / Bicep para IaC.</t>
  </si>
  <si>
    <t>EKS con Helm + Kustomize. AWS CodePipeline. Terraform + CDK para IaC multi-cloud.</t>
  </si>
  <si>
    <t>Terraform es el estándar de facto para IaC multi-cloud. CDK permite IaC en Python/TypeScript.</t>
  </si>
  <si>
    <t>Reusabilidad</t>
  </si>
  <si>
    <t>Azure Blueprints para landing zones. Módulos Bicep reutilizables.</t>
  </si>
  <si>
    <t>AWS Control Tower + Account Factory. Terraform Registry con módulos verificados.</t>
  </si>
  <si>
    <t>Terraform Registry tiene 15,000+ módulos. Control Tower automatiza landing zones.</t>
  </si>
  <si>
    <t>Capacidad de
Reemplazo</t>
  </si>
  <si>
    <t>Servicios propietarios Azure (APIM, ADF) con alta dependencia de plataforma.</t>
  </si>
  <si>
    <t>API GW + Glue con alternativas open-source. EKS compatible con cualquier K8s.</t>
  </si>
  <si>
    <t>EKS es Kubernetes estándar. Glue usa PySpark (open-source). API GW tiene alternativas.</t>
  </si>
  <si>
    <t>Portabilidad</t>
  </si>
  <si>
    <t>Adaptabilidad</t>
  </si>
  <si>
    <t>Contenedores en AKS son portables. Servicios PaaS Azure tienen lock-in moderado.</t>
  </si>
  <si>
    <t>EKS + Terraform permite migración a otro cloud. S3 API compatible con MinIO/GCS.</t>
  </si>
  <si>
    <t>Terraform state portable. S3 API es estándar de facto. K8s manifiestos son portables.</t>
  </si>
  <si>
    <t>Instalabilidad
(IaC)</t>
  </si>
  <si>
    <t>ARM/Bicep solo para Azure. Azure DevOps para CI/CD.</t>
  </si>
  <si>
    <t>Terraform multi-cloud. CDK para AWS. GitHub Actions + CodePipeline para CI/CD.</t>
  </si>
  <si>
    <t>Terraform permite reproducir infraestructura en minutos. GitOps con ArgoCD en EKS.</t>
  </si>
  <si>
    <t>RESUMEN DE SCORES ISO 25010</t>
  </si>
  <si>
    <t>Score Azure (Promedio)</t>
  </si>
  <si>
    <t>Score AWS (Promedio)</t>
  </si>
  <si>
    <t>Mejora</t>
  </si>
  <si>
    <t>Eficiencia de Desempeño</t>
  </si>
  <si>
    <t>+1.17</t>
  </si>
  <si>
    <t>+1.00</t>
  </si>
  <si>
    <t>+0.50</t>
  </si>
  <si>
    <t>https://calculator.aws/#/estimate?id=08ce84a4cba3eb04015047be2c5af3ea3412c6ca</t>
  </si>
  <si>
    <t>APIM vs API Gateway: APIM exige pago fijo por instancia/SKU, mientras que API Gateway cobra por uso. Al consolidar 11 instancias APIM en un solo servicio y pagar solo por tráfico real, el costo baja de forma drástica, especialmente cuando hay entornos Dev/QA con baja utilización.
Costo Azure APIM mensual: suma de todas las instancias/SKU activas.
Costo AWS API Gateway mensual: solicitudes + data transfer + CloudWatch Logs.
Ahorro mensual: costo Azure APIM menos costo AWS API Gateway.
Ahorro porcentual: ahorro mensual dividido entre costo Azure APIM</t>
  </si>
  <si>
    <t>la mayor parte del costo actual está concentrada en 10 clusters AKS con 76 nodos activos y 1,456 vCPUs, donde la migración a EKS permite rediseñar el consumo con Karpenter, Spot en Dev/QA y Savings Plans en Prod. El valor no está solo en cambiar AKS por EKS, sino en reducir sobreaprovisionamiento, consolidar capacidad y convertir costo fijo en costo más elástico; por eso este frente explica el ahorro más material 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</si>
</sst>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0.0"/>
  </numFmts>
  <fonts count="3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1A1A1A"/>
      <name val="Calibri"/>
    </font>
    <font>
      <sz val="11"/>
      <color rgb="FF1A1A1A"/>
      <name val="Calibri"/>
    </font>
    <font>
      <b/>
      <sz val="9"/>
      <color rgb="FF1B5E20"/>
      <name val="Calibri"/>
    </font>
    <font>
      <b/>
      <sz val="11"/>
      <color rgb="FF107C10"/>
      <name val="Calibri"/>
    </font>
    <font>
      <b/>
      <sz val="9"/>
      <color rgb="FFE65100"/>
      <name val="Calibri"/>
    </font>
    <font>
      <b/>
      <sz val="9"/>
      <color rgb="FF0D47A1"/>
      <name val="Calibri"/>
    </font>
    <font>
      <i/>
      <sz val="9"/>
      <color rgb="FF5D4037"/>
      <name val="Calibri"/>
    </font>
    <font>
      <b/>
      <sz val="14"/>
      <color rgb="FFFFFFFF"/>
      <name val="Calibri"/>
    </font>
    <font>
      <b/>
      <sz val="11"/>
      <color rgb="FFD13438"/>
      <name val="Calibri"/>
    </font>
    <font>
      <sz val="11"/>
      <color rgb="FF107C10"/>
      <name val="Calibri"/>
    </font>
    <font>
      <sz val="11"/>
      <color rgb="FFD13438"/>
      <name val="Calibri"/>
    </font>
    <font>
      <b/>
      <sz val="11"/>
      <color rgb="FFFFFFFF"/>
      <name val="Calibri"/>
    </font>
    <font>
      <b/>
      <sz val="9"/>
      <color rgb="FF107C10"/>
      <name val="Calibri"/>
    </font>
    <font>
      <b/>
      <sz val="9"/>
      <color rgb="FFFFFFFF"/>
      <name val="Calibri"/>
    </font>
    <font>
      <b/>
      <sz val="9"/>
      <color rgb="FF1A1A1A"/>
      <name val="Calibri"/>
    </font>
    <font>
      <b/>
      <sz val="9"/>
      <color rgb="FFD13438"/>
      <name val="Calibri"/>
    </font>
    <font>
      <b/>
      <sz val="11"/>
      <color rgb="FFE65100"/>
      <name val="Calibri"/>
    </font>
    <font>
      <sz val="10"/>
      <name val="Calibri"/>
    </font>
    <font>
      <sz val="9"/>
      <name val="Calibri"/>
    </font>
    <font>
      <b/>
      <sz val="12"/>
      <color rgb="FFD13438"/>
      <name val="Calibri"/>
    </font>
    <font>
      <b/>
      <sz val="12"/>
      <color rgb="FF107C10"/>
      <name val="Calibri"/>
    </font>
    <font>
      <b/>
      <sz val="11"/>
      <color rgb="FFD13438"/>
      <name val="Calibri"/>
    </font>
    <font>
      <b/>
      <sz val="11"/>
      <color rgb="FF107C10"/>
      <name val="Calibri"/>
    </font>
    <font>
      <b/>
      <sz val="10"/>
      <color rgb="FF1A1A1A"/>
      <name val="Calibri"/>
    </font>
    <font>
      <sz val="10"/>
      <color rgb="FF1A1A1A"/>
      <name val="Calibri"/>
    </font>
    <font>
      <b/>
      <sz val="10"/>
      <color rgb="FF107C10"/>
      <name val="Calibri"/>
    </font>
    <font>
      <u/>
      <sz val="11"/>
      <color theme="10"/>
      <name val="Calibri"/>
      <family val="2"/>
      <scheme val="minor"/>
    </font>
    <font>
      <sz val="11"/>
      <color rgb="FF1A1A1A"/>
      <name val="Calibri"/>
      <family val="2"/>
    </font>
    <font>
      <sz val="10"/>
      <color rgb="FF1A1A1A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232F3E"/>
      </patternFill>
    </fill>
    <fill>
      <patternFill patternType="solid">
        <fgColor rgb="FFFF9900"/>
      </patternFill>
    </fill>
    <fill>
      <patternFill patternType="solid">
        <fgColor rgb="FF1A5276"/>
      </patternFill>
    </fill>
    <fill>
      <patternFill patternType="solid">
        <fgColor rgb="FF107C10"/>
      </patternFill>
    </fill>
    <fill>
      <patternFill patternType="solid">
        <fgColor rgb="FFFFF8EC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FEBEE"/>
      </patternFill>
    </fill>
    <fill>
      <patternFill patternType="solid">
        <fgColor rgb="FFE65100"/>
      </patternFill>
    </fill>
    <fill>
      <patternFill patternType="solid">
        <fgColor rgb="FFFFB900"/>
      </patternFill>
    </fill>
    <fill>
      <patternFill patternType="solid">
        <fgColor rgb="FFD13438"/>
      </patternFill>
    </fill>
    <fill>
      <patternFill patternType="solid">
        <fgColor rgb="FFEBF5FB"/>
      </patternFill>
    </fill>
    <fill>
      <patternFill patternType="solid">
        <fgColor rgb="FF27AE60"/>
      </patternFill>
    </fill>
    <fill>
      <patternFill patternType="solid">
        <fgColor rgb="FF2C3E50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30" fillId="0" borderId="0"/>
  </cellStyleXfs>
  <cellXfs count="10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10" fillId="11" borderId="0" xfId="0" applyFont="1" applyFill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14" fillId="12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20" fillId="9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166" fontId="23" fillId="12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6" fontId="24" fillId="7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2" fontId="25" fillId="12" borderId="1" xfId="0" applyNumberFormat="1" applyFont="1" applyFill="1" applyBorder="1" applyAlignment="1">
      <alignment horizontal="center" vertical="center"/>
    </xf>
    <xf numFmtId="2" fontId="26" fillId="7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7" fillId="6" borderId="1" xfId="0" applyFont="1" applyFill="1" applyBorder="1" applyAlignment="1">
      <alignment horizontal="left" vertical="center"/>
    </xf>
    <xf numFmtId="0" fontId="28" fillId="6" borderId="1" xfId="0" applyFont="1" applyFill="1" applyBorder="1" applyAlignment="1">
      <alignment horizontal="left" vertical="center"/>
    </xf>
    <xf numFmtId="164" fontId="28" fillId="6" borderId="1" xfId="0" applyNumberFormat="1" applyFont="1" applyFill="1" applyBorder="1" applyAlignment="1">
      <alignment horizontal="center" vertical="center"/>
    </xf>
    <xf numFmtId="164" fontId="29" fillId="7" borderId="1" xfId="0" applyNumberFormat="1" applyFont="1" applyFill="1" applyBorder="1" applyAlignment="1">
      <alignment horizontal="center" vertical="center"/>
    </xf>
    <xf numFmtId="165" fontId="29" fillId="7" borderId="1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left" vertical="center"/>
    </xf>
    <xf numFmtId="0" fontId="28" fillId="8" borderId="1" xfId="0" applyFont="1" applyFill="1" applyBorder="1" applyAlignment="1">
      <alignment horizontal="left" vertical="center"/>
    </xf>
    <xf numFmtId="164" fontId="28" fillId="8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0" fillId="0" borderId="0" xfId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11" xfId="0" applyFont="1" applyFill="1" applyBorder="1" applyAlignment="1">
      <alignment horizontal="center" vertical="top" wrapText="1"/>
    </xf>
    <xf numFmtId="0" fontId="31" fillId="8" borderId="1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0" fontId="22" fillId="16" borderId="1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21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TCO Acumulado 36 Meses: Azure vs AWS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'2. TCO 3 Años'!$B$12</c:f>
              <c:strCache>
                <c:ptCount val="1"/>
                <c:pt idx="0">
                  <c:v>Azure Acumulado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'2. TCO 3 Años'!$A$13:$A$48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'2. TCO 3 Años'!$B$13:$B$48</c:f>
              <c:numCache>
                <c:formatCode>"$"#,##0</c:formatCode>
                <c:ptCount val="36"/>
                <c:pt idx="0">
                  <c:v>161843</c:v>
                </c:pt>
                <c:pt idx="1">
                  <c:v>323686</c:v>
                </c:pt>
                <c:pt idx="2">
                  <c:v>485529</c:v>
                </c:pt>
                <c:pt idx="3">
                  <c:v>647372</c:v>
                </c:pt>
                <c:pt idx="4">
                  <c:v>809215</c:v>
                </c:pt>
                <c:pt idx="5">
                  <c:v>971058</c:v>
                </c:pt>
                <c:pt idx="6">
                  <c:v>1132901</c:v>
                </c:pt>
                <c:pt idx="7">
                  <c:v>1294744</c:v>
                </c:pt>
                <c:pt idx="8">
                  <c:v>1456587</c:v>
                </c:pt>
                <c:pt idx="9">
                  <c:v>1618430</c:v>
                </c:pt>
                <c:pt idx="10">
                  <c:v>1780273</c:v>
                </c:pt>
                <c:pt idx="11">
                  <c:v>1942116</c:v>
                </c:pt>
                <c:pt idx="12">
                  <c:v>2103959</c:v>
                </c:pt>
                <c:pt idx="13">
                  <c:v>2265802</c:v>
                </c:pt>
                <c:pt idx="14">
                  <c:v>2427645</c:v>
                </c:pt>
                <c:pt idx="15">
                  <c:v>2589488</c:v>
                </c:pt>
                <c:pt idx="16">
                  <c:v>2751331</c:v>
                </c:pt>
                <c:pt idx="17">
                  <c:v>2913174</c:v>
                </c:pt>
                <c:pt idx="18">
                  <c:v>3075017</c:v>
                </c:pt>
                <c:pt idx="19">
                  <c:v>3236860</c:v>
                </c:pt>
                <c:pt idx="20">
                  <c:v>3398703</c:v>
                </c:pt>
                <c:pt idx="21">
                  <c:v>3560546</c:v>
                </c:pt>
                <c:pt idx="22">
                  <c:v>3722389</c:v>
                </c:pt>
                <c:pt idx="23">
                  <c:v>3884232</c:v>
                </c:pt>
                <c:pt idx="24">
                  <c:v>4046075</c:v>
                </c:pt>
                <c:pt idx="25">
                  <c:v>4207918</c:v>
                </c:pt>
                <c:pt idx="26">
                  <c:v>4369761</c:v>
                </c:pt>
                <c:pt idx="27">
                  <c:v>4531604</c:v>
                </c:pt>
                <c:pt idx="28">
                  <c:v>4693447</c:v>
                </c:pt>
                <c:pt idx="29">
                  <c:v>4855290</c:v>
                </c:pt>
                <c:pt idx="30">
                  <c:v>5017133</c:v>
                </c:pt>
                <c:pt idx="31">
                  <c:v>5178976</c:v>
                </c:pt>
                <c:pt idx="32">
                  <c:v>5340819</c:v>
                </c:pt>
                <c:pt idx="33">
                  <c:v>5502662</c:v>
                </c:pt>
                <c:pt idx="34">
                  <c:v>5664505</c:v>
                </c:pt>
                <c:pt idx="35">
                  <c:v>5826348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57-4E51-A087-0384EDBD9CFC}"/>
            </c:ext>
          </c:extLst>
        </c:ser>
        <c:ser>
          <c:idx val="1"/>
          <c:order val="1"/>
          <c:tx>
            <c:strRef>
              <c:f>'2. TCO 3 Años'!$C$12</c:f>
              <c:strCache>
                <c:ptCount val="1"/>
                <c:pt idx="0">
                  <c:v>AWS On-Demand Acum.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'2. TCO 3 Años'!$A$13:$A$48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'2. TCO 3 Años'!$C$13:$C$48</c:f>
              <c:numCache>
                <c:formatCode>"$"#,##0</c:formatCode>
                <c:ptCount val="36"/>
                <c:pt idx="0">
                  <c:v>290682</c:v>
                </c:pt>
                <c:pt idx="1">
                  <c:v>391614</c:v>
                </c:pt>
                <c:pt idx="2">
                  <c:v>492546</c:v>
                </c:pt>
                <c:pt idx="3">
                  <c:v>593478</c:v>
                </c:pt>
                <c:pt idx="4">
                  <c:v>694410</c:v>
                </c:pt>
                <c:pt idx="5">
                  <c:v>795342</c:v>
                </c:pt>
                <c:pt idx="6">
                  <c:v>896274</c:v>
                </c:pt>
                <c:pt idx="7">
                  <c:v>997206</c:v>
                </c:pt>
                <c:pt idx="8">
                  <c:v>1098138</c:v>
                </c:pt>
                <c:pt idx="9">
                  <c:v>1199070</c:v>
                </c:pt>
                <c:pt idx="10">
                  <c:v>1300002</c:v>
                </c:pt>
                <c:pt idx="11">
                  <c:v>1400934</c:v>
                </c:pt>
                <c:pt idx="12">
                  <c:v>1501866</c:v>
                </c:pt>
                <c:pt idx="13">
                  <c:v>1602798</c:v>
                </c:pt>
                <c:pt idx="14">
                  <c:v>1703730</c:v>
                </c:pt>
                <c:pt idx="15">
                  <c:v>1804662</c:v>
                </c:pt>
                <c:pt idx="16">
                  <c:v>1905594</c:v>
                </c:pt>
                <c:pt idx="17">
                  <c:v>2006526</c:v>
                </c:pt>
                <c:pt idx="18">
                  <c:v>2107458</c:v>
                </c:pt>
                <c:pt idx="19">
                  <c:v>2208390</c:v>
                </c:pt>
                <c:pt idx="20">
                  <c:v>2309322</c:v>
                </c:pt>
                <c:pt idx="21">
                  <c:v>2410254</c:v>
                </c:pt>
                <c:pt idx="22">
                  <c:v>2511186</c:v>
                </c:pt>
                <c:pt idx="23">
                  <c:v>2612118</c:v>
                </c:pt>
                <c:pt idx="24">
                  <c:v>2713050</c:v>
                </c:pt>
                <c:pt idx="25">
                  <c:v>2813982</c:v>
                </c:pt>
                <c:pt idx="26">
                  <c:v>2914914</c:v>
                </c:pt>
                <c:pt idx="27">
                  <c:v>3015846</c:v>
                </c:pt>
                <c:pt idx="28">
                  <c:v>3116778</c:v>
                </c:pt>
                <c:pt idx="29">
                  <c:v>3217710</c:v>
                </c:pt>
                <c:pt idx="30">
                  <c:v>3318642</c:v>
                </c:pt>
                <c:pt idx="31">
                  <c:v>3419574</c:v>
                </c:pt>
                <c:pt idx="32">
                  <c:v>3520506</c:v>
                </c:pt>
                <c:pt idx="33">
                  <c:v>3621438</c:v>
                </c:pt>
                <c:pt idx="34">
                  <c:v>3722370</c:v>
                </c:pt>
                <c:pt idx="35">
                  <c:v>3823302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57-4E51-A087-0384EDBD9CFC}"/>
            </c:ext>
          </c:extLst>
        </c:ser>
        <c:ser>
          <c:idx val="2"/>
          <c:order val="2"/>
          <c:tx>
            <c:strRef>
              <c:f>'2. TCO 3 Años'!$D$12</c:f>
              <c:strCache>
                <c:ptCount val="1"/>
                <c:pt idx="0">
                  <c:v>AWS SP 3yr Acum.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'2. TCO 3 Años'!$A$13:$A$48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'2. TCO 3 Años'!$D$13:$D$48</c:f>
              <c:numCache>
                <c:formatCode>"$"#,##0</c:formatCode>
                <c:ptCount val="36"/>
                <c:pt idx="0">
                  <c:v>254507</c:v>
                </c:pt>
                <c:pt idx="1">
                  <c:v>319264</c:v>
                </c:pt>
                <c:pt idx="2">
                  <c:v>384021</c:v>
                </c:pt>
                <c:pt idx="3">
                  <c:v>448778</c:v>
                </c:pt>
                <c:pt idx="4">
                  <c:v>513535</c:v>
                </c:pt>
                <c:pt idx="5">
                  <c:v>578292</c:v>
                </c:pt>
                <c:pt idx="6">
                  <c:v>643049</c:v>
                </c:pt>
                <c:pt idx="7">
                  <c:v>707806</c:v>
                </c:pt>
                <c:pt idx="8">
                  <c:v>772563</c:v>
                </c:pt>
                <c:pt idx="9">
                  <c:v>837320</c:v>
                </c:pt>
                <c:pt idx="10">
                  <c:v>902077</c:v>
                </c:pt>
                <c:pt idx="11">
                  <c:v>966834</c:v>
                </c:pt>
                <c:pt idx="12">
                  <c:v>1031591</c:v>
                </c:pt>
                <c:pt idx="13">
                  <c:v>1096348</c:v>
                </c:pt>
                <c:pt idx="14">
                  <c:v>1161105</c:v>
                </c:pt>
                <c:pt idx="15">
                  <c:v>1225862</c:v>
                </c:pt>
                <c:pt idx="16">
                  <c:v>1290619</c:v>
                </c:pt>
                <c:pt idx="17">
                  <c:v>1355376</c:v>
                </c:pt>
                <c:pt idx="18">
                  <c:v>1420133</c:v>
                </c:pt>
                <c:pt idx="19">
                  <c:v>1484890</c:v>
                </c:pt>
                <c:pt idx="20">
                  <c:v>1549647</c:v>
                </c:pt>
                <c:pt idx="21">
                  <c:v>1614404</c:v>
                </c:pt>
                <c:pt idx="22">
                  <c:v>1679161</c:v>
                </c:pt>
                <c:pt idx="23">
                  <c:v>1743918</c:v>
                </c:pt>
                <c:pt idx="24">
                  <c:v>1808675</c:v>
                </c:pt>
                <c:pt idx="25">
                  <c:v>1873432</c:v>
                </c:pt>
                <c:pt idx="26">
                  <c:v>1938189</c:v>
                </c:pt>
                <c:pt idx="27">
                  <c:v>2002946</c:v>
                </c:pt>
                <c:pt idx="28">
                  <c:v>2067703</c:v>
                </c:pt>
                <c:pt idx="29">
                  <c:v>2132460</c:v>
                </c:pt>
                <c:pt idx="30">
                  <c:v>2197217</c:v>
                </c:pt>
                <c:pt idx="31">
                  <c:v>2261974</c:v>
                </c:pt>
                <c:pt idx="32">
                  <c:v>2326731</c:v>
                </c:pt>
                <c:pt idx="33">
                  <c:v>2391488</c:v>
                </c:pt>
                <c:pt idx="34">
                  <c:v>2456245</c:v>
                </c:pt>
                <c:pt idx="35">
                  <c:v>2521002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257-4E51-A087-0384EDBD9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USD Acumulado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Ahorro Acumulado por Año (SP 3yr)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'2. TCO 3 Años'!$N$6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'2. TCO 3 Años'!$M$7:$M$9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'2. TCO 3 Años'!$N$7:$N$9</c:f>
              <c:numCache>
                <c:formatCode>General</c:formatCode>
                <c:ptCount val="3"/>
                <c:pt idx="0">
                  <c:v>975282</c:v>
                </c:pt>
                <c:pt idx="1">
                  <c:v>2140314</c:v>
                </c:pt>
                <c:pt idx="2">
                  <c:v>3305346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1-42FD-AFBF-AD559EDA6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Año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Costo Mensual por Ambiente: Azure vs AWS SP3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'3. Costos por Ambiente'!$B$33</c:f>
              <c:strCache>
                <c:ptCount val="1"/>
                <c:pt idx="0">
                  <c:v>Azure Mensual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'3. Costos por Ambiente'!$A$34:$A$37</c:f>
              <c:strCache>
                <c:ptCount val="4"/>
                <c:pt idx="0">
                  <c:v>Prod</c:v>
                </c:pt>
                <c:pt idx="1">
                  <c:v>QA</c:v>
                </c:pt>
                <c:pt idx="2">
                  <c:v>Dev</c:v>
                </c:pt>
                <c:pt idx="3">
                  <c:v>Hub</c:v>
                </c:pt>
              </c:strCache>
            </c:strRef>
          </c:cat>
          <c:val>
            <c:numRef>
              <c:f>'3. Costos por Ambiente'!$B$34:$B$37</c:f>
              <c:numCache>
                <c:formatCode>General</c:formatCode>
                <c:ptCount val="4"/>
                <c:pt idx="0">
                  <c:v>123173</c:v>
                </c:pt>
                <c:pt idx="1">
                  <c:v>19314</c:v>
                </c:pt>
                <c:pt idx="2">
                  <c:v>5953</c:v>
                </c:pt>
                <c:pt idx="3">
                  <c:v>15462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0-476D-A228-309814DB110D}"/>
            </c:ext>
          </c:extLst>
        </c:ser>
        <c:ser>
          <c:idx val="1"/>
          <c:order val="1"/>
          <c:tx>
            <c:strRef>
              <c:f>'3. Costos por Ambiente'!$C$33</c:f>
              <c:strCache>
                <c:ptCount val="1"/>
                <c:pt idx="0">
                  <c:v>AWS SP3 Mensual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'3. Costos por Ambiente'!$A$34:$A$37</c:f>
              <c:strCache>
                <c:ptCount val="4"/>
                <c:pt idx="0">
                  <c:v>Prod</c:v>
                </c:pt>
                <c:pt idx="1">
                  <c:v>QA</c:v>
                </c:pt>
                <c:pt idx="2">
                  <c:v>Dev</c:v>
                </c:pt>
                <c:pt idx="3">
                  <c:v>Hub</c:v>
                </c:pt>
              </c:strCache>
            </c:strRef>
          </c:cat>
          <c:val>
            <c:numRef>
              <c:f>'3. Costos por Ambiente'!$C$34:$C$37</c:f>
              <c:numCache>
                <c:formatCode>General</c:formatCode>
                <c:ptCount val="4"/>
                <c:pt idx="0">
                  <c:v>45919</c:v>
                </c:pt>
                <c:pt idx="1">
                  <c:v>9566</c:v>
                </c:pt>
                <c:pt idx="2">
                  <c:v>3013</c:v>
                </c:pt>
                <c:pt idx="3">
                  <c:v>6259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0-476D-A228-309814DB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USD/mes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Ahorro Anual por Estrategia FinOps (USD)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'4. FinOps Optimización'!$B$24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'4. FinOps Optimización'!$A$25:$A$39</c:f>
              <c:strCache>
                <c:ptCount val="15"/>
                <c:pt idx="0">
                  <c:v>Compute Savings Plans 1yr</c:v>
                </c:pt>
                <c:pt idx="1">
                  <c:v>Compute Savings Plans 3yr</c:v>
                </c:pt>
                <c:pt idx="2">
                  <c:v>Reserved Instances 1yr (A</c:v>
                </c:pt>
                <c:pt idx="3">
                  <c:v>Reserved Instances 3yr (A</c:v>
                </c:pt>
                <c:pt idx="4">
                  <c:v>Reserved Instances (Docum</c:v>
                </c:pt>
                <c:pt idx="5">
                  <c:v>Spot Instances (Dev/QA EK</c:v>
                </c:pt>
                <c:pt idx="6">
                  <c:v>Karpenter Autoscaling</c:v>
                </c:pt>
                <c:pt idx="7">
                  <c:v>Right-Sizing (Compute Opt</c:v>
                </c:pt>
                <c:pt idx="8">
                  <c:v>S3 Intelligent-Tiering</c:v>
                </c:pt>
                <c:pt idx="9">
                  <c:v>Graviton3 Instances (Auro</c:v>
                </c:pt>
                <c:pt idx="10">
                  <c:v>API Gateway Pay-per-Use</c:v>
                </c:pt>
                <c:pt idx="11">
                  <c:v>CloudWatch vs Log Analyti</c:v>
                </c:pt>
                <c:pt idx="12">
                  <c:v>Fargate Spot (Batch Jobs)</c:v>
                </c:pt>
                <c:pt idx="13">
                  <c:v>Databricks Committed Use</c:v>
                </c:pt>
                <c:pt idx="14">
                  <c:v>EKS Stopped Clusters Clea</c:v>
                </c:pt>
              </c:strCache>
            </c:strRef>
          </c:cat>
          <c:val>
            <c:numRef>
              <c:f>'4. FinOps Optimización'!$B$25:$B$39</c:f>
              <c:numCache>
                <c:formatCode>General</c:formatCode>
                <c:ptCount val="15"/>
                <c:pt idx="0">
                  <c:v>89388</c:v>
                </c:pt>
                <c:pt idx="1">
                  <c:v>195648</c:v>
                </c:pt>
                <c:pt idx="2">
                  <c:v>30600</c:v>
                </c:pt>
                <c:pt idx="3">
                  <c:v>48960</c:v>
                </c:pt>
                <c:pt idx="4">
                  <c:v>6972</c:v>
                </c:pt>
                <c:pt idx="5">
                  <c:v>84000</c:v>
                </c:pt>
                <c:pt idx="6">
                  <c:v>89376</c:v>
                </c:pt>
                <c:pt idx="7">
                  <c:v>71496</c:v>
                </c:pt>
                <c:pt idx="8">
                  <c:v>52800</c:v>
                </c:pt>
                <c:pt idx="9">
                  <c:v>24384</c:v>
                </c:pt>
                <c:pt idx="10">
                  <c:v>110067</c:v>
                </c:pt>
                <c:pt idx="11">
                  <c:v>65033</c:v>
                </c:pt>
                <c:pt idx="12">
                  <c:v>39000</c:v>
                </c:pt>
                <c:pt idx="13">
                  <c:v>6552</c:v>
                </c:pt>
                <c:pt idx="14">
                  <c:v>46344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C-4A1B-8D6B-2FAB4FAA6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USD/año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Curva de Payback: Azure vs AWS (incluye inversión)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'6. Inversión y ROI'!$B$29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'6. Inversión y ROI'!$A$30:$A$66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'6. Inversión y ROI'!$B$30:$B$66</c:f>
              <c:numCache>
                <c:formatCode>General</c:formatCode>
                <c:ptCount val="37"/>
                <c:pt idx="0">
                  <c:v>0</c:v>
                </c:pt>
                <c:pt idx="1">
                  <c:v>161843</c:v>
                </c:pt>
                <c:pt idx="2">
                  <c:v>323686</c:v>
                </c:pt>
                <c:pt idx="3">
                  <c:v>485529</c:v>
                </c:pt>
                <c:pt idx="4">
                  <c:v>647372</c:v>
                </c:pt>
                <c:pt idx="5">
                  <c:v>809215</c:v>
                </c:pt>
                <c:pt idx="6">
                  <c:v>971058</c:v>
                </c:pt>
                <c:pt idx="7">
                  <c:v>1132901</c:v>
                </c:pt>
                <c:pt idx="8">
                  <c:v>1294744</c:v>
                </c:pt>
                <c:pt idx="9">
                  <c:v>1456587</c:v>
                </c:pt>
                <c:pt idx="10">
                  <c:v>1618430</c:v>
                </c:pt>
                <c:pt idx="11">
                  <c:v>1780273</c:v>
                </c:pt>
                <c:pt idx="12">
                  <c:v>1942116</c:v>
                </c:pt>
                <c:pt idx="13">
                  <c:v>2103959</c:v>
                </c:pt>
                <c:pt idx="14">
                  <c:v>2265802</c:v>
                </c:pt>
                <c:pt idx="15">
                  <c:v>2427645</c:v>
                </c:pt>
                <c:pt idx="16">
                  <c:v>2589488</c:v>
                </c:pt>
                <c:pt idx="17">
                  <c:v>2751331</c:v>
                </c:pt>
                <c:pt idx="18">
                  <c:v>2913174</c:v>
                </c:pt>
                <c:pt idx="19">
                  <c:v>3075017</c:v>
                </c:pt>
                <c:pt idx="20">
                  <c:v>3236860</c:v>
                </c:pt>
                <c:pt idx="21">
                  <c:v>3398703</c:v>
                </c:pt>
                <c:pt idx="22">
                  <c:v>3560546</c:v>
                </c:pt>
                <c:pt idx="23">
                  <c:v>3722389</c:v>
                </c:pt>
                <c:pt idx="24">
                  <c:v>3884232</c:v>
                </c:pt>
                <c:pt idx="25">
                  <c:v>4046075</c:v>
                </c:pt>
                <c:pt idx="26">
                  <c:v>4207918</c:v>
                </c:pt>
                <c:pt idx="27">
                  <c:v>4369761</c:v>
                </c:pt>
                <c:pt idx="28">
                  <c:v>4531604</c:v>
                </c:pt>
                <c:pt idx="29">
                  <c:v>4693447</c:v>
                </c:pt>
                <c:pt idx="30">
                  <c:v>4855290</c:v>
                </c:pt>
                <c:pt idx="31">
                  <c:v>5017133</c:v>
                </c:pt>
                <c:pt idx="32">
                  <c:v>5178976</c:v>
                </c:pt>
                <c:pt idx="33">
                  <c:v>5340819</c:v>
                </c:pt>
                <c:pt idx="34">
                  <c:v>5502662</c:v>
                </c:pt>
                <c:pt idx="35">
                  <c:v>5664505</c:v>
                </c:pt>
                <c:pt idx="36">
                  <c:v>5826348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5-45A6-B4CE-23EB28BF2379}"/>
            </c:ext>
          </c:extLst>
        </c:ser>
        <c:ser>
          <c:idx val="1"/>
          <c:order val="1"/>
          <c:tx>
            <c:strRef>
              <c:f>'6. Inversión y ROI'!$C$29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'6. Inversión y ROI'!$A$30:$A$66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'6. Inversión y ROI'!$C$30:$C$66</c:f>
              <c:numCache>
                <c:formatCode>General</c:formatCode>
                <c:ptCount val="37"/>
                <c:pt idx="0">
                  <c:v>189750</c:v>
                </c:pt>
                <c:pt idx="1">
                  <c:v>254507</c:v>
                </c:pt>
                <c:pt idx="2">
                  <c:v>319264</c:v>
                </c:pt>
                <c:pt idx="3">
                  <c:v>384021</c:v>
                </c:pt>
                <c:pt idx="4">
                  <c:v>448778</c:v>
                </c:pt>
                <c:pt idx="5">
                  <c:v>513535</c:v>
                </c:pt>
                <c:pt idx="6">
                  <c:v>578292</c:v>
                </c:pt>
                <c:pt idx="7">
                  <c:v>643049</c:v>
                </c:pt>
                <c:pt idx="8">
                  <c:v>707806</c:v>
                </c:pt>
                <c:pt idx="9">
                  <c:v>772563</c:v>
                </c:pt>
                <c:pt idx="10">
                  <c:v>837320</c:v>
                </c:pt>
                <c:pt idx="11">
                  <c:v>902077</c:v>
                </c:pt>
                <c:pt idx="12">
                  <c:v>966834</c:v>
                </c:pt>
                <c:pt idx="13">
                  <c:v>1031591</c:v>
                </c:pt>
                <c:pt idx="14">
                  <c:v>1096348</c:v>
                </c:pt>
                <c:pt idx="15">
                  <c:v>1161105</c:v>
                </c:pt>
                <c:pt idx="16">
                  <c:v>1225862</c:v>
                </c:pt>
                <c:pt idx="17">
                  <c:v>1290619</c:v>
                </c:pt>
                <c:pt idx="18">
                  <c:v>1355376</c:v>
                </c:pt>
                <c:pt idx="19">
                  <c:v>1420133</c:v>
                </c:pt>
                <c:pt idx="20">
                  <c:v>1484890</c:v>
                </c:pt>
                <c:pt idx="21">
                  <c:v>1549647</c:v>
                </c:pt>
                <c:pt idx="22">
                  <c:v>1614404</c:v>
                </c:pt>
                <c:pt idx="23">
                  <c:v>1679161</c:v>
                </c:pt>
                <c:pt idx="24">
                  <c:v>1743918</c:v>
                </c:pt>
                <c:pt idx="25">
                  <c:v>1808675</c:v>
                </c:pt>
                <c:pt idx="26">
                  <c:v>1873432</c:v>
                </c:pt>
                <c:pt idx="27">
                  <c:v>1938189</c:v>
                </c:pt>
                <c:pt idx="28">
                  <c:v>2002946</c:v>
                </c:pt>
                <c:pt idx="29">
                  <c:v>2067703</c:v>
                </c:pt>
                <c:pt idx="30">
                  <c:v>2132460</c:v>
                </c:pt>
                <c:pt idx="31">
                  <c:v>2197217</c:v>
                </c:pt>
                <c:pt idx="32">
                  <c:v>2261974</c:v>
                </c:pt>
                <c:pt idx="33">
                  <c:v>2326731</c:v>
                </c:pt>
                <c:pt idx="34">
                  <c:v>2391488</c:v>
                </c:pt>
                <c:pt idx="35">
                  <c:v>2456245</c:v>
                </c:pt>
                <c:pt idx="36">
                  <c:v>2521002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5-45A6-B4CE-23EB28BF2379}"/>
            </c:ext>
          </c:extLst>
        </c:ser>
        <c:ser>
          <c:idx val="2"/>
          <c:order val="2"/>
          <c:tx>
            <c:strRef>
              <c:f>'6. Inversión y ROI'!$D$29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'6. Inversión y ROI'!$A$30:$A$66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'6. Inversión y ROI'!$D$30:$D$66</c:f>
              <c:numCache>
                <c:formatCode>General</c:formatCode>
                <c:ptCount val="37"/>
                <c:pt idx="0">
                  <c:v>-189750</c:v>
                </c:pt>
                <c:pt idx="1">
                  <c:v>-92664</c:v>
                </c:pt>
                <c:pt idx="2">
                  <c:v>4422</c:v>
                </c:pt>
                <c:pt idx="3">
                  <c:v>101508</c:v>
                </c:pt>
                <c:pt idx="4">
                  <c:v>198594</c:v>
                </c:pt>
                <c:pt idx="5">
                  <c:v>295680</c:v>
                </c:pt>
                <c:pt idx="6">
                  <c:v>392766</c:v>
                </c:pt>
                <c:pt idx="7">
                  <c:v>489852</c:v>
                </c:pt>
                <c:pt idx="8">
                  <c:v>586938</c:v>
                </c:pt>
                <c:pt idx="9">
                  <c:v>684024</c:v>
                </c:pt>
                <c:pt idx="10">
                  <c:v>781110</c:v>
                </c:pt>
                <c:pt idx="11">
                  <c:v>878196</c:v>
                </c:pt>
                <c:pt idx="12">
                  <c:v>975282</c:v>
                </c:pt>
                <c:pt idx="13">
                  <c:v>1072368</c:v>
                </c:pt>
                <c:pt idx="14">
                  <c:v>1169454</c:v>
                </c:pt>
                <c:pt idx="15">
                  <c:v>1266540</c:v>
                </c:pt>
                <c:pt idx="16">
                  <c:v>1363626</c:v>
                </c:pt>
                <c:pt idx="17">
                  <c:v>1460712</c:v>
                </c:pt>
                <c:pt idx="18">
                  <c:v>1557798</c:v>
                </c:pt>
                <c:pt idx="19">
                  <c:v>1654884</c:v>
                </c:pt>
                <c:pt idx="20">
                  <c:v>1751970</c:v>
                </c:pt>
                <c:pt idx="21">
                  <c:v>1849056</c:v>
                </c:pt>
                <c:pt idx="22">
                  <c:v>1946142</c:v>
                </c:pt>
                <c:pt idx="23">
                  <c:v>2043228</c:v>
                </c:pt>
                <c:pt idx="24">
                  <c:v>2140314</c:v>
                </c:pt>
                <c:pt idx="25">
                  <c:v>2237400</c:v>
                </c:pt>
                <c:pt idx="26">
                  <c:v>2334486</c:v>
                </c:pt>
                <c:pt idx="27">
                  <c:v>2431572</c:v>
                </c:pt>
                <c:pt idx="28">
                  <c:v>2528658</c:v>
                </c:pt>
                <c:pt idx="29">
                  <c:v>2625744</c:v>
                </c:pt>
                <c:pt idx="30">
                  <c:v>2722830</c:v>
                </c:pt>
                <c:pt idx="31">
                  <c:v>2819916</c:v>
                </c:pt>
                <c:pt idx="32">
                  <c:v>2917002</c:v>
                </c:pt>
                <c:pt idx="33">
                  <c:v>3014088</c:v>
                </c:pt>
                <c:pt idx="34">
                  <c:v>3111174</c:v>
                </c:pt>
                <c:pt idx="35">
                  <c:v>3208260</c:v>
                </c:pt>
                <c:pt idx="36">
                  <c:v>3305346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C75-45A6-B4CE-23EB28BF2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USD Acumulado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Scores ISO 25010: Azure vs AWS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'8. ISO 25010 Calidad'!$B$24</c:f>
              <c:strCache>
                <c:ptCount val="1"/>
                <c:pt idx="0">
                  <c:v>Score Azure (Promedio)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'8. ISO 25010 Calidad'!$A$25:$A$29</c:f>
              <c:strCache>
                <c:ptCount val="5"/>
                <c:pt idx="0">
                  <c:v>Eficiencia de Desempeño</c:v>
                </c:pt>
                <c:pt idx="1">
                  <c:v>Fiabilidad</c:v>
                </c:pt>
                <c:pt idx="2">
                  <c:v>Seguridad</c:v>
                </c:pt>
                <c:pt idx="3">
                  <c:v>Mantenibilidad</c:v>
                </c:pt>
                <c:pt idx="4">
                  <c:v>Portabilidad</c:v>
                </c:pt>
              </c:strCache>
            </c:strRef>
          </c:cat>
          <c:val>
            <c:numRef>
              <c:f>'8. ISO 25010 Calidad'!$B$25:$B$29</c:f>
              <c:numCache>
                <c:formatCode>0.00</c:formatCode>
                <c:ptCount val="5"/>
                <c:pt idx="0">
                  <c:v>3.333333333333333</c:v>
                </c:pt>
                <c:pt idx="1">
                  <c:v>3.625</c:v>
                </c:pt>
                <c:pt idx="2">
                  <c:v>4</c:v>
                </c:pt>
                <c:pt idx="3">
                  <c:v>3.333333333333333</c:v>
                </c:pt>
                <c:pt idx="4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4-4E20-9065-FEB6467CCB8C}"/>
            </c:ext>
          </c:extLst>
        </c:ser>
        <c:ser>
          <c:idx val="1"/>
          <c:order val="1"/>
          <c:tx>
            <c:strRef>
              <c:f>'8. ISO 25010 Calidad'!$C$24</c:f>
              <c:strCache>
                <c:ptCount val="1"/>
                <c:pt idx="0">
                  <c:v>Score AWS (Promedio)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'8. ISO 25010 Calidad'!$A$25:$A$29</c:f>
              <c:strCache>
                <c:ptCount val="5"/>
                <c:pt idx="0">
                  <c:v>Eficiencia de Desempeño</c:v>
                </c:pt>
                <c:pt idx="1">
                  <c:v>Fiabilidad</c:v>
                </c:pt>
                <c:pt idx="2">
                  <c:v>Seguridad</c:v>
                </c:pt>
                <c:pt idx="3">
                  <c:v>Mantenibilidad</c:v>
                </c:pt>
                <c:pt idx="4">
                  <c:v>Portabilidad</c:v>
                </c:pt>
              </c:strCache>
            </c:strRef>
          </c:cat>
          <c:val>
            <c:numRef>
              <c:f>'8. ISO 25010 Calidad'!$C$25:$C$29</c:f>
              <c:numCache>
                <c:formatCode>0.00</c:formatCode>
                <c:ptCount val="5"/>
                <c:pt idx="0">
                  <c:v>4.5</c:v>
                </c:pt>
                <c:pt idx="1">
                  <c:v>4.625</c:v>
                </c:pt>
                <c:pt idx="2">
                  <c:v>4.5</c:v>
                </c:pt>
                <c:pt idx="3">
                  <c:v>4.333333333333333</c:v>
                </c:pt>
                <c:pt idx="4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4-4E20-9065-FEB6467CC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Score (1-5)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10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32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32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</xdr:row>
      <xdr:rowOff>0</xdr:rowOff>
    </xdr:from>
    <xdr:ext cx="936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27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22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lculator.aws/" TargetMode="External"/><Relationship Id="rId2" Type="http://schemas.openxmlformats.org/officeDocument/2006/relationships/hyperlink" Target="https://calculator.aws/" TargetMode="External"/><Relationship Id="rId1" Type="http://schemas.openxmlformats.org/officeDocument/2006/relationships/hyperlink" Target="https://calculator.aws/" TargetMode="External"/><Relationship Id="rId6" Type="http://schemas.openxmlformats.org/officeDocument/2006/relationships/hyperlink" Target="https://calculator.aws/" TargetMode="External"/><Relationship Id="rId5" Type="http://schemas.openxmlformats.org/officeDocument/2006/relationships/hyperlink" Target="https://calculator.aws/" TargetMode="External"/><Relationship Id="rId4" Type="http://schemas.openxmlformats.org/officeDocument/2006/relationships/hyperlink" Target="https://calculator.aw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showGridLines="0" tabSelected="1" workbookViewId="0">
      <pane ySplit="5" topLeftCell="A6" activePane="bottomLeft" state="frozen"/>
      <selection pane="bottomLeft" activeCell="D9" sqref="D9"/>
    </sheetView>
  </sheetViews>
  <sheetFormatPr baseColWidth="10" defaultColWidth="8.88671875" defaultRowHeight="14.4" x14ac:dyDescent="0.3"/>
  <cols>
    <col min="1" max="1" width="65.6640625" bestFit="1" customWidth="1"/>
    <col min="2" max="2" width="46.109375" customWidth="1"/>
    <col min="3" max="5" width="14" customWidth="1"/>
    <col min="6" max="9" width="16" customWidth="1"/>
    <col min="10" max="10" width="12" customWidth="1"/>
    <col min="11" max="11" width="16" customWidth="1"/>
    <col min="12" max="12" width="87.109375" bestFit="1" customWidth="1"/>
    <col min="13" max="13" width="38.6640625" style="68" bestFit="1" customWidth="1"/>
    <col min="14" max="14" width="29.21875" style="67" customWidth="1"/>
    <col min="15" max="15" width="26.6640625" style="67" customWidth="1"/>
  </cols>
  <sheetData>
    <row r="1" spans="1:15" x14ac:dyDescent="0.3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15" x14ac:dyDescent="0.3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5" x14ac:dyDescent="0.3">
      <c r="A3" s="86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5"/>
    </row>
    <row r="4" spans="1:15" ht="7.95" customHeight="1" x14ac:dyDescent="0.3"/>
    <row r="5" spans="1:15" ht="49.95" customHeight="1" x14ac:dyDescent="0.3">
      <c r="A5" s="77" t="s">
        <v>2</v>
      </c>
      <c r="B5" s="75"/>
      <c r="C5" s="76" t="s">
        <v>3</v>
      </c>
      <c r="D5" s="75"/>
      <c r="E5" s="84" t="s">
        <v>4</v>
      </c>
      <c r="F5" s="75"/>
      <c r="G5" s="84" t="s">
        <v>5</v>
      </c>
      <c r="H5" s="75"/>
      <c r="I5" s="84" t="s">
        <v>6</v>
      </c>
      <c r="J5" s="75"/>
      <c r="K5" s="85" t="s">
        <v>7</v>
      </c>
      <c r="L5" s="75"/>
    </row>
    <row r="7" spans="1:15" ht="34.950000000000003" customHeight="1" x14ac:dyDescent="0.3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  <c r="M7" s="69" t="s">
        <v>20</v>
      </c>
      <c r="N7" s="65" t="s">
        <v>21</v>
      </c>
      <c r="O7" s="65" t="s">
        <v>22</v>
      </c>
    </row>
    <row r="8" spans="1:15" ht="108.6" customHeight="1" x14ac:dyDescent="0.3">
      <c r="A8" s="56" t="s">
        <v>23</v>
      </c>
      <c r="B8" s="57" t="s">
        <v>24</v>
      </c>
      <c r="C8" s="5" t="s">
        <v>25</v>
      </c>
      <c r="D8" s="58">
        <v>54472</v>
      </c>
      <c r="E8" s="58">
        <v>653665</v>
      </c>
      <c r="F8" s="58">
        <v>54314.64</v>
      </c>
      <c r="G8" s="58">
        <v>40936.629999999997</v>
      </c>
      <c r="H8" s="58">
        <v>30393.200000000001</v>
      </c>
      <c r="I8" s="59">
        <v>24078.799999999999</v>
      </c>
      <c r="J8" s="60">
        <v>0.44203994712880013</v>
      </c>
      <c r="K8" s="59">
        <v>288945.59999999998</v>
      </c>
      <c r="L8" s="71" t="s">
        <v>500</v>
      </c>
      <c r="M8" s="66" t="s">
        <v>26</v>
      </c>
      <c r="N8" s="66" t="s">
        <v>26</v>
      </c>
      <c r="O8" s="66" t="s">
        <v>27</v>
      </c>
    </row>
    <row r="9" spans="1:15" ht="30" customHeight="1" x14ac:dyDescent="0.3">
      <c r="A9" s="61" t="s">
        <v>28</v>
      </c>
      <c r="B9" s="62" t="s">
        <v>29</v>
      </c>
      <c r="C9" s="13" t="s">
        <v>30</v>
      </c>
      <c r="D9" s="63">
        <v>8533</v>
      </c>
      <c r="E9" s="63">
        <v>102396</v>
      </c>
      <c r="F9" s="63">
        <v>8000</v>
      </c>
      <c r="G9" s="63">
        <v>6400</v>
      </c>
      <c r="H9" s="63">
        <v>5100</v>
      </c>
      <c r="I9" s="59">
        <v>3433</v>
      </c>
      <c r="J9" s="60">
        <v>0.40232040314074768</v>
      </c>
      <c r="K9" s="59">
        <v>41196</v>
      </c>
      <c r="L9" s="64" t="s">
        <v>31</v>
      </c>
    </row>
    <row r="10" spans="1:15" ht="19.95" customHeight="1" x14ac:dyDescent="0.3">
      <c r="A10" s="9" t="s">
        <v>32</v>
      </c>
      <c r="B10" s="10" t="s">
        <v>33</v>
      </c>
      <c r="C10" s="5" t="s">
        <v>25</v>
      </c>
      <c r="D10" s="11">
        <v>31612</v>
      </c>
      <c r="E10" s="11">
        <v>379344</v>
      </c>
      <c r="F10" s="11">
        <v>22000</v>
      </c>
      <c r="G10" s="11">
        <v>18000</v>
      </c>
      <c r="H10" s="11">
        <v>15000</v>
      </c>
      <c r="I10" s="7">
        <v>16612</v>
      </c>
      <c r="J10" s="8">
        <v>0.52549664684297104</v>
      </c>
      <c r="K10" s="7">
        <v>199344</v>
      </c>
      <c r="L10" s="10" t="s">
        <v>34</v>
      </c>
    </row>
    <row r="11" spans="1:15" ht="19.95" customHeight="1" x14ac:dyDescent="0.3">
      <c r="A11" s="3" t="s">
        <v>35</v>
      </c>
      <c r="B11" s="4" t="s">
        <v>36</v>
      </c>
      <c r="C11" s="12" t="s">
        <v>37</v>
      </c>
      <c r="D11" s="6">
        <v>15073</v>
      </c>
      <c r="E11" s="6">
        <v>180876</v>
      </c>
      <c r="F11" s="6">
        <v>2969</v>
      </c>
      <c r="G11" s="6">
        <v>2500</v>
      </c>
      <c r="H11" s="6">
        <v>2100</v>
      </c>
      <c r="I11" s="7">
        <v>12973</v>
      </c>
      <c r="J11" s="8">
        <v>0.86067803356995953</v>
      </c>
      <c r="K11" s="7">
        <v>155676</v>
      </c>
      <c r="L11" s="4" t="s">
        <v>38</v>
      </c>
    </row>
    <row r="12" spans="1:15" ht="19.95" customHeight="1" x14ac:dyDescent="0.3">
      <c r="A12" s="9" t="s">
        <v>39</v>
      </c>
      <c r="B12" s="10" t="s">
        <v>40</v>
      </c>
      <c r="C12" s="5" t="s">
        <v>25</v>
      </c>
      <c r="D12" s="11">
        <v>11078</v>
      </c>
      <c r="E12" s="11">
        <v>132936</v>
      </c>
      <c r="F12" s="11">
        <v>8500</v>
      </c>
      <c r="G12" s="11">
        <v>6200</v>
      </c>
      <c r="H12" s="11">
        <v>5000</v>
      </c>
      <c r="I12" s="7">
        <v>6078</v>
      </c>
      <c r="J12" s="8">
        <v>0.54865499187578981</v>
      </c>
      <c r="K12" s="7">
        <v>72936</v>
      </c>
      <c r="L12" s="10" t="s">
        <v>41</v>
      </c>
    </row>
    <row r="13" spans="1:15" ht="19.95" customHeight="1" x14ac:dyDescent="0.3">
      <c r="A13" s="3" t="s">
        <v>42</v>
      </c>
      <c r="B13" s="4" t="s">
        <v>43</v>
      </c>
      <c r="C13" s="5" t="s">
        <v>25</v>
      </c>
      <c r="D13" s="6">
        <v>10202</v>
      </c>
      <c r="E13" s="6">
        <v>122424</v>
      </c>
      <c r="F13" s="6">
        <v>1800</v>
      </c>
      <c r="G13" s="6">
        <v>1500</v>
      </c>
      <c r="H13" s="6">
        <v>1200</v>
      </c>
      <c r="I13" s="7">
        <v>9002</v>
      </c>
      <c r="J13" s="8">
        <v>0.8823760047049598</v>
      </c>
      <c r="K13" s="7">
        <v>108024</v>
      </c>
      <c r="L13" s="4" t="s">
        <v>44</v>
      </c>
    </row>
    <row r="14" spans="1:15" ht="144" x14ac:dyDescent="0.3">
      <c r="A14" s="9" t="s">
        <v>45</v>
      </c>
      <c r="B14" s="10" t="s">
        <v>46</v>
      </c>
      <c r="C14" s="5" t="s">
        <v>25</v>
      </c>
      <c r="D14" s="11">
        <v>9655</v>
      </c>
      <c r="E14" s="11">
        <v>115860</v>
      </c>
      <c r="F14" s="11">
        <v>404.84</v>
      </c>
      <c r="G14" s="11">
        <v>404.84</v>
      </c>
      <c r="H14" s="11">
        <v>404.84</v>
      </c>
      <c r="I14" s="7">
        <v>9250.16</v>
      </c>
      <c r="J14" s="8">
        <v>0.95806899999999995</v>
      </c>
      <c r="K14" s="7">
        <v>111001.92</v>
      </c>
      <c r="L14" s="70" t="s">
        <v>499</v>
      </c>
      <c r="M14" s="66" t="s">
        <v>498</v>
      </c>
      <c r="N14" s="66" t="s">
        <v>498</v>
      </c>
      <c r="O14" s="66" t="s">
        <v>498</v>
      </c>
    </row>
    <row r="15" spans="1:15" ht="19.95" customHeight="1" x14ac:dyDescent="0.3">
      <c r="A15" s="3" t="s">
        <v>47</v>
      </c>
      <c r="B15" s="4" t="s">
        <v>48</v>
      </c>
      <c r="C15" s="5" t="s">
        <v>25</v>
      </c>
      <c r="D15" s="6">
        <v>6609</v>
      </c>
      <c r="E15" s="6">
        <v>79308</v>
      </c>
      <c r="F15" s="6">
        <v>1200</v>
      </c>
      <c r="G15" s="6">
        <v>900</v>
      </c>
      <c r="H15" s="6">
        <v>700</v>
      </c>
      <c r="I15" s="7">
        <v>5909</v>
      </c>
      <c r="J15" s="8">
        <v>0.89408382508700257</v>
      </c>
      <c r="K15" s="7">
        <v>70908</v>
      </c>
      <c r="L15" s="4" t="s">
        <v>49</v>
      </c>
    </row>
    <row r="16" spans="1:15" ht="19.95" customHeight="1" x14ac:dyDescent="0.3">
      <c r="A16" s="9" t="s">
        <v>50</v>
      </c>
      <c r="B16" s="10" t="s">
        <v>51</v>
      </c>
      <c r="C16" s="5" t="s">
        <v>25</v>
      </c>
      <c r="D16" s="11">
        <v>2353</v>
      </c>
      <c r="E16" s="11">
        <v>28236</v>
      </c>
      <c r="F16" s="11">
        <v>1660</v>
      </c>
      <c r="G16" s="11">
        <v>1200</v>
      </c>
      <c r="H16" s="11">
        <v>950</v>
      </c>
      <c r="I16" s="7">
        <v>1403</v>
      </c>
      <c r="J16" s="8">
        <v>0.59626009349766251</v>
      </c>
      <c r="K16" s="7">
        <v>16836</v>
      </c>
      <c r="L16" s="10" t="s">
        <v>52</v>
      </c>
    </row>
    <row r="17" spans="1:12" ht="19.95" customHeight="1" x14ac:dyDescent="0.3">
      <c r="A17" s="3" t="s">
        <v>53</v>
      </c>
      <c r="B17" s="4" t="s">
        <v>54</v>
      </c>
      <c r="C17" s="5" t="s">
        <v>25</v>
      </c>
      <c r="D17" s="6">
        <v>2169</v>
      </c>
      <c r="E17" s="6">
        <v>26028</v>
      </c>
      <c r="F17" s="6">
        <v>1500</v>
      </c>
      <c r="G17" s="6">
        <v>1200</v>
      </c>
      <c r="H17" s="6">
        <v>950</v>
      </c>
      <c r="I17" s="7">
        <v>1219</v>
      </c>
      <c r="J17" s="8">
        <v>0.562010142923006</v>
      </c>
      <c r="K17" s="7">
        <v>14628</v>
      </c>
      <c r="L17" s="4" t="s">
        <v>55</v>
      </c>
    </row>
    <row r="18" spans="1:12" ht="19.95" customHeight="1" x14ac:dyDescent="0.3">
      <c r="A18" s="9" t="s">
        <v>56</v>
      </c>
      <c r="B18" s="10" t="s">
        <v>57</v>
      </c>
      <c r="C18" s="5" t="s">
        <v>25</v>
      </c>
      <c r="D18" s="11">
        <v>1624</v>
      </c>
      <c r="E18" s="11">
        <v>19488</v>
      </c>
      <c r="F18" s="11">
        <v>800</v>
      </c>
      <c r="G18" s="11">
        <v>600</v>
      </c>
      <c r="H18" s="11">
        <v>480</v>
      </c>
      <c r="I18" s="7">
        <v>1144</v>
      </c>
      <c r="J18" s="8">
        <v>0.70443349753694584</v>
      </c>
      <c r="K18" s="7">
        <v>13728</v>
      </c>
      <c r="L18" s="10" t="s">
        <v>58</v>
      </c>
    </row>
    <row r="19" spans="1:12" ht="19.95" customHeight="1" x14ac:dyDescent="0.3">
      <c r="A19" s="3" t="s">
        <v>59</v>
      </c>
      <c r="B19" s="4" t="s">
        <v>60</v>
      </c>
      <c r="C19" s="5" t="s">
        <v>25</v>
      </c>
      <c r="D19" s="6">
        <v>1954</v>
      </c>
      <c r="E19" s="6">
        <v>23448</v>
      </c>
      <c r="F19" s="6">
        <v>1873</v>
      </c>
      <c r="G19" s="6">
        <v>1263</v>
      </c>
      <c r="H19" s="6">
        <v>961</v>
      </c>
      <c r="I19" s="7">
        <v>993</v>
      </c>
      <c r="J19" s="8">
        <v>0.50818833162743093</v>
      </c>
      <c r="K19" s="7">
        <v>11916</v>
      </c>
      <c r="L19" s="4" t="s">
        <v>61</v>
      </c>
    </row>
    <row r="20" spans="1:12" ht="19.95" customHeight="1" x14ac:dyDescent="0.3">
      <c r="A20" s="9" t="s">
        <v>62</v>
      </c>
      <c r="B20" s="10" t="s">
        <v>63</v>
      </c>
      <c r="C20" s="5" t="s">
        <v>25</v>
      </c>
      <c r="D20" s="11">
        <v>965</v>
      </c>
      <c r="E20" s="11">
        <v>11580</v>
      </c>
      <c r="F20" s="11">
        <v>800</v>
      </c>
      <c r="G20" s="11">
        <v>580</v>
      </c>
      <c r="H20" s="11">
        <v>460</v>
      </c>
      <c r="I20" s="7">
        <v>505</v>
      </c>
      <c r="J20" s="8">
        <v>0.52331606217616577</v>
      </c>
      <c r="K20" s="7">
        <v>6060</v>
      </c>
      <c r="L20" s="10" t="s">
        <v>64</v>
      </c>
    </row>
    <row r="21" spans="1:12" ht="19.95" customHeight="1" x14ac:dyDescent="0.3">
      <c r="A21" s="3" t="s">
        <v>65</v>
      </c>
      <c r="B21" s="4" t="s">
        <v>66</v>
      </c>
      <c r="C21" s="5" t="s">
        <v>25</v>
      </c>
      <c r="D21" s="6">
        <v>1401</v>
      </c>
      <c r="E21" s="6">
        <v>16812</v>
      </c>
      <c r="F21" s="6">
        <v>1200</v>
      </c>
      <c r="G21" s="6">
        <v>1000</v>
      </c>
      <c r="H21" s="6">
        <v>850</v>
      </c>
      <c r="I21" s="7">
        <v>551</v>
      </c>
      <c r="J21" s="8">
        <v>0.3932905067808708</v>
      </c>
      <c r="K21" s="7">
        <v>6612</v>
      </c>
      <c r="L21" s="4" t="s">
        <v>67</v>
      </c>
    </row>
    <row r="22" spans="1:12" ht="19.95" customHeight="1" x14ac:dyDescent="0.3">
      <c r="A22" s="9" t="s">
        <v>68</v>
      </c>
      <c r="B22" s="10" t="s">
        <v>69</v>
      </c>
      <c r="C22" s="13" t="s">
        <v>30</v>
      </c>
      <c r="D22" s="11">
        <v>725</v>
      </c>
      <c r="E22" s="11">
        <v>8700</v>
      </c>
      <c r="F22" s="11">
        <v>600</v>
      </c>
      <c r="G22" s="11">
        <v>500</v>
      </c>
      <c r="H22" s="11">
        <v>420</v>
      </c>
      <c r="I22" s="7">
        <v>305</v>
      </c>
      <c r="J22" s="8">
        <v>0.4206896551724138</v>
      </c>
      <c r="K22" s="7">
        <v>3660</v>
      </c>
      <c r="L22" s="10" t="s">
        <v>70</v>
      </c>
    </row>
    <row r="23" spans="1:12" ht="19.95" customHeight="1" x14ac:dyDescent="0.3">
      <c r="A23" s="3" t="s">
        <v>71</v>
      </c>
      <c r="B23" s="4" t="s">
        <v>72</v>
      </c>
      <c r="C23" s="5" t="s">
        <v>25</v>
      </c>
      <c r="D23" s="6">
        <v>896</v>
      </c>
      <c r="E23" s="6">
        <v>10752</v>
      </c>
      <c r="F23" s="6">
        <v>700</v>
      </c>
      <c r="G23" s="6">
        <v>580</v>
      </c>
      <c r="H23" s="6">
        <v>480</v>
      </c>
      <c r="I23" s="7">
        <v>416</v>
      </c>
      <c r="J23" s="8">
        <v>0.4642857142857143</v>
      </c>
      <c r="K23" s="7">
        <v>4992</v>
      </c>
      <c r="L23" s="4" t="s">
        <v>73</v>
      </c>
    </row>
    <row r="24" spans="1:12" ht="19.95" customHeight="1" x14ac:dyDescent="0.3">
      <c r="A24" s="9" t="s">
        <v>74</v>
      </c>
      <c r="B24" s="10" t="s">
        <v>75</v>
      </c>
      <c r="C24" s="5" t="s">
        <v>25</v>
      </c>
      <c r="D24" s="11">
        <v>365</v>
      </c>
      <c r="E24" s="11">
        <v>4380</v>
      </c>
      <c r="F24" s="11">
        <v>200</v>
      </c>
      <c r="G24" s="11">
        <v>160</v>
      </c>
      <c r="H24" s="11">
        <v>130</v>
      </c>
      <c r="I24" s="7">
        <v>235</v>
      </c>
      <c r="J24" s="8">
        <v>0.64383561643835618</v>
      </c>
      <c r="K24" s="7">
        <v>2820</v>
      </c>
      <c r="L24" s="10" t="s">
        <v>76</v>
      </c>
    </row>
    <row r="25" spans="1:12" ht="19.95" customHeight="1" x14ac:dyDescent="0.3">
      <c r="A25" s="3" t="s">
        <v>77</v>
      </c>
      <c r="B25" s="4" t="s">
        <v>78</v>
      </c>
      <c r="C25" s="5" t="s">
        <v>25</v>
      </c>
      <c r="D25" s="6">
        <v>1080</v>
      </c>
      <c r="E25" s="6">
        <v>12960</v>
      </c>
      <c r="F25" s="6">
        <v>350</v>
      </c>
      <c r="G25" s="6">
        <v>280</v>
      </c>
      <c r="H25" s="6">
        <v>220</v>
      </c>
      <c r="I25" s="7">
        <v>860</v>
      </c>
      <c r="J25" s="8">
        <v>0.79629629629629628</v>
      </c>
      <c r="K25" s="7">
        <v>10320</v>
      </c>
      <c r="L25" s="4" t="s">
        <v>79</v>
      </c>
    </row>
    <row r="26" spans="1:12" ht="19.95" customHeight="1" x14ac:dyDescent="0.3">
      <c r="A26" s="9" t="s">
        <v>80</v>
      </c>
      <c r="B26" s="10" t="s">
        <v>81</v>
      </c>
      <c r="C26" s="5" t="s">
        <v>25</v>
      </c>
      <c r="D26" s="11">
        <v>2201</v>
      </c>
      <c r="E26" s="11">
        <v>26412</v>
      </c>
      <c r="F26" s="11">
        <v>1800</v>
      </c>
      <c r="G26" s="11">
        <v>1500</v>
      </c>
      <c r="H26" s="11">
        <v>1200</v>
      </c>
      <c r="I26" s="7">
        <v>1001</v>
      </c>
      <c r="J26" s="8">
        <v>0.45479327578373469</v>
      </c>
      <c r="K26" s="7">
        <v>12012</v>
      </c>
      <c r="L26" s="10" t="s">
        <v>82</v>
      </c>
    </row>
    <row r="27" spans="1:12" ht="19.95" customHeight="1" x14ac:dyDescent="0.3">
      <c r="A27" s="3" t="s">
        <v>83</v>
      </c>
      <c r="B27" s="4" t="s">
        <v>84</v>
      </c>
      <c r="C27" s="5" t="s">
        <v>25</v>
      </c>
      <c r="D27" s="6">
        <v>478</v>
      </c>
      <c r="E27" s="6">
        <v>5736</v>
      </c>
      <c r="F27" s="6">
        <v>300</v>
      </c>
      <c r="G27" s="6">
        <v>240</v>
      </c>
      <c r="H27" s="6">
        <v>190</v>
      </c>
      <c r="I27" s="7">
        <v>288</v>
      </c>
      <c r="J27" s="8">
        <v>0.60251046025104604</v>
      </c>
      <c r="K27" s="7">
        <v>3456</v>
      </c>
      <c r="L27" s="4" t="s">
        <v>85</v>
      </c>
    </row>
    <row r="28" spans="1:12" ht="19.95" customHeight="1" x14ac:dyDescent="0.3">
      <c r="A28" s="9" t="s">
        <v>86</v>
      </c>
      <c r="B28" s="10" t="s">
        <v>87</v>
      </c>
      <c r="C28" s="5" t="s">
        <v>25</v>
      </c>
      <c r="D28" s="11">
        <v>459</v>
      </c>
      <c r="E28" s="11">
        <v>5508</v>
      </c>
      <c r="F28" s="11">
        <v>400</v>
      </c>
      <c r="G28" s="11">
        <v>320</v>
      </c>
      <c r="H28" s="11">
        <v>260</v>
      </c>
      <c r="I28" s="7">
        <v>199</v>
      </c>
      <c r="J28" s="8">
        <v>0.43355119825708061</v>
      </c>
      <c r="K28" s="7">
        <v>2388</v>
      </c>
      <c r="L28" s="10" t="s">
        <v>88</v>
      </c>
    </row>
    <row r="29" spans="1:12" ht="19.95" customHeight="1" x14ac:dyDescent="0.3">
      <c r="A29" s="3" t="s">
        <v>89</v>
      </c>
      <c r="B29" s="4" t="s">
        <v>90</v>
      </c>
      <c r="C29" s="5" t="s">
        <v>25</v>
      </c>
      <c r="D29" s="6">
        <v>850</v>
      </c>
      <c r="E29" s="6">
        <v>10200</v>
      </c>
      <c r="F29" s="6">
        <v>600</v>
      </c>
      <c r="G29" s="6">
        <v>480</v>
      </c>
      <c r="H29" s="6">
        <v>380</v>
      </c>
      <c r="I29" s="7">
        <v>470</v>
      </c>
      <c r="J29" s="8">
        <v>0.55294117647058827</v>
      </c>
      <c r="K29" s="7">
        <v>5640</v>
      </c>
      <c r="L29" s="4" t="s">
        <v>91</v>
      </c>
    </row>
    <row r="30" spans="1:12" ht="19.95" customHeight="1" x14ac:dyDescent="0.3">
      <c r="A30" s="9" t="s">
        <v>92</v>
      </c>
      <c r="B30" s="10" t="s">
        <v>93</v>
      </c>
      <c r="C30" s="5" t="s">
        <v>25</v>
      </c>
      <c r="D30" s="11">
        <v>319</v>
      </c>
      <c r="E30" s="11">
        <v>3828</v>
      </c>
      <c r="F30" s="11">
        <v>200</v>
      </c>
      <c r="G30" s="11">
        <v>160</v>
      </c>
      <c r="H30" s="11">
        <v>130</v>
      </c>
      <c r="I30" s="7">
        <v>189</v>
      </c>
      <c r="J30" s="8">
        <v>0.59247648902821315</v>
      </c>
      <c r="K30" s="7">
        <v>2268</v>
      </c>
      <c r="L30" s="10" t="s">
        <v>94</v>
      </c>
    </row>
    <row r="31" spans="1:12" ht="22.05" customHeight="1" x14ac:dyDescent="0.3">
      <c r="A31" s="73" t="s">
        <v>95</v>
      </c>
      <c r="B31" s="74"/>
      <c r="C31" s="75"/>
      <c r="D31" s="6">
        <v>329</v>
      </c>
      <c r="E31" s="6">
        <v>3948</v>
      </c>
      <c r="F31" s="6">
        <v>250</v>
      </c>
      <c r="G31" s="6">
        <v>200</v>
      </c>
      <c r="H31" s="6">
        <v>160</v>
      </c>
      <c r="I31" s="7">
        <v>169</v>
      </c>
      <c r="J31" s="8">
        <v>0.51367781155015202</v>
      </c>
      <c r="K31" s="7">
        <v>2028</v>
      </c>
      <c r="L31" s="4" t="s">
        <v>96</v>
      </c>
    </row>
    <row r="32" spans="1:12" x14ac:dyDescent="0.3">
      <c r="A32" s="14" t="s">
        <v>97</v>
      </c>
      <c r="B32" s="54"/>
      <c r="C32" s="55"/>
      <c r="D32" s="15">
        <v>161843</v>
      </c>
      <c r="E32" s="15">
        <v>1942116</v>
      </c>
      <c r="F32" s="15">
        <v>108932</v>
      </c>
      <c r="G32" s="15">
        <v>84299</v>
      </c>
      <c r="H32" s="15">
        <v>69857</v>
      </c>
      <c r="I32" s="15">
        <v>91986</v>
      </c>
      <c r="J32" s="17">
        <v>0.56836563830378828</v>
      </c>
      <c r="K32" s="15">
        <v>1103832</v>
      </c>
      <c r="L32" s="18"/>
    </row>
    <row r="33" spans="1:12" ht="30" customHeight="1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</row>
    <row r="34" spans="1:12" ht="60" customHeight="1" x14ac:dyDescent="0.3">
      <c r="A34" s="19" t="s">
        <v>98</v>
      </c>
    </row>
  </sheetData>
  <mergeCells count="10">
    <mergeCell ref="A33:L33"/>
    <mergeCell ref="A31:C31"/>
    <mergeCell ref="C5:D5"/>
    <mergeCell ref="A5:B5"/>
    <mergeCell ref="A1:L2"/>
    <mergeCell ref="E5:F5"/>
    <mergeCell ref="G5:H5"/>
    <mergeCell ref="I5:J5"/>
    <mergeCell ref="K5:L5"/>
    <mergeCell ref="A3:L3"/>
  </mergeCells>
  <hyperlinks>
    <hyperlink ref="M8" r:id="rId1" location="/estimate?id=ab9b48fa6e478ba7bfaf28ed1ea8e6a67e6d170f" xr:uid="{00000000-0004-0000-0000-000000000000}"/>
    <hyperlink ref="N8" r:id="rId2" location="/estimate?id=7c23c3f1f9c6cb888de6184877209a6bfad2b5ad" xr:uid="{00000000-0004-0000-0000-000001000000}"/>
    <hyperlink ref="O8" r:id="rId3" location="/estimate?id=980f081b3c800ab9f3308e088f20f029f317fe8e" xr:uid="{00000000-0004-0000-0000-000002000000}"/>
    <hyperlink ref="M14" r:id="rId4" location="/estimate?id=08ce84a4cba3eb04015047be2c5af3ea3412c6ca" xr:uid="{983F5591-9A45-44CF-AFFB-7095EF254FF6}"/>
    <hyperlink ref="N14" r:id="rId5" location="/estimate?id=08ce84a4cba3eb04015047be2c5af3ea3412c6ca" xr:uid="{DB64AEA8-03C2-424C-8E8B-1DD9F66059F9}"/>
    <hyperlink ref="O14" r:id="rId6" location="/estimate?id=08ce84a4cba3eb04015047be2c5af3ea3412c6ca" xr:uid="{E9E518C4-ED4E-4CFD-B317-6D4411F0D21E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showGridLines="0" workbookViewId="0">
      <selection sqref="A1:N2"/>
    </sheetView>
  </sheetViews>
  <sheetFormatPr baseColWidth="10" defaultColWidth="8.88671875" defaultRowHeight="14.4" x14ac:dyDescent="0.3"/>
  <cols>
    <col min="1" max="1" width="8" customWidth="1"/>
    <col min="2" max="3" width="18" customWidth="1"/>
    <col min="4" max="4" width="20" customWidth="1"/>
    <col min="5" max="6" width="18" customWidth="1"/>
    <col min="7" max="9" width="16" customWidth="1"/>
    <col min="10" max="10" width="20" customWidth="1"/>
    <col min="11" max="11" width="14" customWidth="1"/>
  </cols>
  <sheetData>
    <row r="1" spans="1:14" x14ac:dyDescent="0.3">
      <c r="A1" s="87" t="s">
        <v>99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0"/>
    </row>
    <row r="2" spans="1:14" x14ac:dyDescent="0.3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3"/>
    </row>
    <row r="3" spans="1:14" x14ac:dyDescent="0.3">
      <c r="A3" s="88" t="s">
        <v>100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</row>
    <row r="5" spans="1:14" ht="34.950000000000003" customHeight="1" x14ac:dyDescent="0.3">
      <c r="A5" s="2" t="s">
        <v>101</v>
      </c>
      <c r="B5" s="2" t="s">
        <v>102</v>
      </c>
      <c r="C5" s="2" t="s">
        <v>103</v>
      </c>
      <c r="D5" s="2" t="s">
        <v>104</v>
      </c>
      <c r="E5" s="2" t="s">
        <v>105</v>
      </c>
      <c r="F5" s="2" t="s">
        <v>106</v>
      </c>
      <c r="G5" s="2" t="s">
        <v>107</v>
      </c>
      <c r="H5" s="2" t="s">
        <v>108</v>
      </c>
      <c r="I5" s="2" t="s">
        <v>109</v>
      </c>
      <c r="J5" s="2" t="s">
        <v>110</v>
      </c>
      <c r="K5" s="2" t="s">
        <v>111</v>
      </c>
    </row>
    <row r="6" spans="1:14" ht="22.05" customHeight="1" x14ac:dyDescent="0.3">
      <c r="A6" s="20">
        <v>1</v>
      </c>
      <c r="B6" s="10" t="s">
        <v>112</v>
      </c>
      <c r="C6" s="21">
        <v>1942116</v>
      </c>
      <c r="D6" s="11">
        <v>1211184</v>
      </c>
      <c r="E6" s="11">
        <v>934788</v>
      </c>
      <c r="F6" s="11">
        <v>777084</v>
      </c>
      <c r="G6" s="22">
        <v>730932</v>
      </c>
      <c r="H6" s="22">
        <v>1007328</v>
      </c>
      <c r="I6" s="7">
        <v>1165032</v>
      </c>
      <c r="J6" s="7">
        <v>975282</v>
      </c>
      <c r="K6" s="8">
        <v>5.1398260869565213</v>
      </c>
    </row>
    <row r="7" spans="1:14" ht="22.05" customHeight="1" x14ac:dyDescent="0.3">
      <c r="A7" s="23">
        <v>2</v>
      </c>
      <c r="B7" s="4" t="s">
        <v>113</v>
      </c>
      <c r="C7" s="21">
        <v>3884232</v>
      </c>
      <c r="D7" s="6">
        <v>2422368</v>
      </c>
      <c r="E7" s="6">
        <v>1869576</v>
      </c>
      <c r="F7" s="6">
        <v>1554168</v>
      </c>
      <c r="G7" s="22">
        <v>1461864</v>
      </c>
      <c r="H7" s="22">
        <v>2014656</v>
      </c>
      <c r="I7" s="7">
        <v>2330064</v>
      </c>
      <c r="J7" s="7">
        <v>2140314</v>
      </c>
      <c r="K7" s="8">
        <v>11.279652173913041</v>
      </c>
      <c r="M7" t="s">
        <v>114</v>
      </c>
      <c r="N7">
        <v>975282</v>
      </c>
    </row>
    <row r="8" spans="1:14" ht="22.05" customHeight="1" x14ac:dyDescent="0.3">
      <c r="A8" s="20">
        <v>3</v>
      </c>
      <c r="B8" s="10" t="s">
        <v>115</v>
      </c>
      <c r="C8" s="21">
        <v>5826348</v>
      </c>
      <c r="D8" s="11">
        <v>3633552</v>
      </c>
      <c r="E8" s="11">
        <v>2804364</v>
      </c>
      <c r="F8" s="11">
        <v>2331252</v>
      </c>
      <c r="G8" s="22">
        <v>2192796</v>
      </c>
      <c r="H8" s="22">
        <v>3021984</v>
      </c>
      <c r="I8" s="7">
        <v>3495096</v>
      </c>
      <c r="J8" s="7">
        <v>3305346</v>
      </c>
      <c r="K8" s="8">
        <v>17.41947826086956</v>
      </c>
      <c r="M8" t="s">
        <v>116</v>
      </c>
      <c r="N8">
        <v>2140314</v>
      </c>
    </row>
    <row r="9" spans="1:14" x14ac:dyDescent="0.3">
      <c r="M9" t="s">
        <v>117</v>
      </c>
      <c r="N9">
        <v>3305346</v>
      </c>
    </row>
    <row r="11" spans="1:14" x14ac:dyDescent="0.3">
      <c r="A11" s="89" t="s">
        <v>118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5"/>
    </row>
    <row r="12" spans="1:14" ht="19.95" customHeight="1" x14ac:dyDescent="0.3">
      <c r="A12" s="14" t="s">
        <v>119</v>
      </c>
      <c r="B12" s="14" t="s">
        <v>103</v>
      </c>
      <c r="C12" s="14" t="s">
        <v>104</v>
      </c>
      <c r="D12" s="14" t="s">
        <v>106</v>
      </c>
      <c r="E12" s="14" t="s">
        <v>120</v>
      </c>
    </row>
    <row r="13" spans="1:14" x14ac:dyDescent="0.3">
      <c r="A13" s="24">
        <v>1</v>
      </c>
      <c r="B13" s="11">
        <v>161843</v>
      </c>
      <c r="C13" s="11">
        <v>290682</v>
      </c>
      <c r="D13" s="11">
        <v>254507</v>
      </c>
      <c r="E13" s="25">
        <v>-92664</v>
      </c>
    </row>
    <row r="14" spans="1:14" x14ac:dyDescent="0.3">
      <c r="A14" s="26">
        <v>2</v>
      </c>
      <c r="B14" s="6">
        <v>323686</v>
      </c>
      <c r="C14" s="6">
        <v>391614</v>
      </c>
      <c r="D14" s="6">
        <v>319264</v>
      </c>
      <c r="E14" s="22">
        <v>4422</v>
      </c>
    </row>
    <row r="15" spans="1:14" x14ac:dyDescent="0.3">
      <c r="A15" s="24">
        <v>3</v>
      </c>
      <c r="B15" s="11">
        <v>485529</v>
      </c>
      <c r="C15" s="11">
        <v>492546</v>
      </c>
      <c r="D15" s="11">
        <v>384021</v>
      </c>
      <c r="E15" s="22">
        <v>101508</v>
      </c>
    </row>
    <row r="16" spans="1:14" x14ac:dyDescent="0.3">
      <c r="A16" s="26">
        <v>4</v>
      </c>
      <c r="B16" s="6">
        <v>647372</v>
      </c>
      <c r="C16" s="6">
        <v>593478</v>
      </c>
      <c r="D16" s="6">
        <v>448778</v>
      </c>
      <c r="E16" s="22">
        <v>198594</v>
      </c>
    </row>
    <row r="17" spans="1:5" x14ac:dyDescent="0.3">
      <c r="A17" s="24">
        <v>5</v>
      </c>
      <c r="B17" s="11">
        <v>809215</v>
      </c>
      <c r="C17" s="11">
        <v>694410</v>
      </c>
      <c r="D17" s="11">
        <v>513535</v>
      </c>
      <c r="E17" s="22">
        <v>295680</v>
      </c>
    </row>
    <row r="18" spans="1:5" x14ac:dyDescent="0.3">
      <c r="A18" s="26">
        <v>6</v>
      </c>
      <c r="B18" s="6">
        <v>971058</v>
      </c>
      <c r="C18" s="6">
        <v>795342</v>
      </c>
      <c r="D18" s="6">
        <v>578292</v>
      </c>
      <c r="E18" s="22">
        <v>392766</v>
      </c>
    </row>
    <row r="19" spans="1:5" x14ac:dyDescent="0.3">
      <c r="A19" s="24">
        <v>7</v>
      </c>
      <c r="B19" s="11">
        <v>1132901</v>
      </c>
      <c r="C19" s="11">
        <v>896274</v>
      </c>
      <c r="D19" s="11">
        <v>643049</v>
      </c>
      <c r="E19" s="22">
        <v>489852</v>
      </c>
    </row>
    <row r="20" spans="1:5" x14ac:dyDescent="0.3">
      <c r="A20" s="26">
        <v>8</v>
      </c>
      <c r="B20" s="6">
        <v>1294744</v>
      </c>
      <c r="C20" s="6">
        <v>997206</v>
      </c>
      <c r="D20" s="6">
        <v>707806</v>
      </c>
      <c r="E20" s="22">
        <v>586938</v>
      </c>
    </row>
    <row r="21" spans="1:5" x14ac:dyDescent="0.3">
      <c r="A21" s="24">
        <v>9</v>
      </c>
      <c r="B21" s="11">
        <v>1456587</v>
      </c>
      <c r="C21" s="11">
        <v>1098138</v>
      </c>
      <c r="D21" s="11">
        <v>772563</v>
      </c>
      <c r="E21" s="22">
        <v>684024</v>
      </c>
    </row>
    <row r="22" spans="1:5" x14ac:dyDescent="0.3">
      <c r="A22" s="26">
        <v>10</v>
      </c>
      <c r="B22" s="6">
        <v>1618430</v>
      </c>
      <c r="C22" s="6">
        <v>1199070</v>
      </c>
      <c r="D22" s="6">
        <v>837320</v>
      </c>
      <c r="E22" s="22">
        <v>781110</v>
      </c>
    </row>
    <row r="23" spans="1:5" x14ac:dyDescent="0.3">
      <c r="A23" s="24">
        <v>11</v>
      </c>
      <c r="B23" s="11">
        <v>1780273</v>
      </c>
      <c r="C23" s="11">
        <v>1300002</v>
      </c>
      <c r="D23" s="11">
        <v>902077</v>
      </c>
      <c r="E23" s="22">
        <v>878196</v>
      </c>
    </row>
    <row r="24" spans="1:5" x14ac:dyDescent="0.3">
      <c r="A24" s="26">
        <v>12</v>
      </c>
      <c r="B24" s="6">
        <v>1942116</v>
      </c>
      <c r="C24" s="6">
        <v>1400934</v>
      </c>
      <c r="D24" s="6">
        <v>966834</v>
      </c>
      <c r="E24" s="22">
        <v>975282</v>
      </c>
    </row>
    <row r="25" spans="1:5" x14ac:dyDescent="0.3">
      <c r="A25" s="24">
        <v>13</v>
      </c>
      <c r="B25" s="11">
        <v>2103959</v>
      </c>
      <c r="C25" s="11">
        <v>1501866</v>
      </c>
      <c r="D25" s="11">
        <v>1031591</v>
      </c>
      <c r="E25" s="22">
        <v>1072368</v>
      </c>
    </row>
    <row r="26" spans="1:5" x14ac:dyDescent="0.3">
      <c r="A26" s="26">
        <v>14</v>
      </c>
      <c r="B26" s="6">
        <v>2265802</v>
      </c>
      <c r="C26" s="6">
        <v>1602798</v>
      </c>
      <c r="D26" s="6">
        <v>1096348</v>
      </c>
      <c r="E26" s="22">
        <v>1169454</v>
      </c>
    </row>
    <row r="27" spans="1:5" x14ac:dyDescent="0.3">
      <c r="A27" s="24">
        <v>15</v>
      </c>
      <c r="B27" s="11">
        <v>2427645</v>
      </c>
      <c r="C27" s="11">
        <v>1703730</v>
      </c>
      <c r="D27" s="11">
        <v>1161105</v>
      </c>
      <c r="E27" s="22">
        <v>1266540</v>
      </c>
    </row>
    <row r="28" spans="1:5" x14ac:dyDescent="0.3">
      <c r="A28" s="26">
        <v>16</v>
      </c>
      <c r="B28" s="6">
        <v>2589488</v>
      </c>
      <c r="C28" s="6">
        <v>1804662</v>
      </c>
      <c r="D28" s="6">
        <v>1225862</v>
      </c>
      <c r="E28" s="22">
        <v>1363626</v>
      </c>
    </row>
    <row r="29" spans="1:5" x14ac:dyDescent="0.3">
      <c r="A29" s="24">
        <v>17</v>
      </c>
      <c r="B29" s="11">
        <v>2751331</v>
      </c>
      <c r="C29" s="11">
        <v>1905594</v>
      </c>
      <c r="D29" s="11">
        <v>1290619</v>
      </c>
      <c r="E29" s="22">
        <v>1460712</v>
      </c>
    </row>
    <row r="30" spans="1:5" x14ac:dyDescent="0.3">
      <c r="A30" s="26">
        <v>18</v>
      </c>
      <c r="B30" s="6">
        <v>2913174</v>
      </c>
      <c r="C30" s="6">
        <v>2006526</v>
      </c>
      <c r="D30" s="6">
        <v>1355376</v>
      </c>
      <c r="E30" s="22">
        <v>1557798</v>
      </c>
    </row>
    <row r="31" spans="1:5" x14ac:dyDescent="0.3">
      <c r="A31" s="24">
        <v>19</v>
      </c>
      <c r="B31" s="11">
        <v>3075017</v>
      </c>
      <c r="C31" s="11">
        <v>2107458</v>
      </c>
      <c r="D31" s="11">
        <v>1420133</v>
      </c>
      <c r="E31" s="22">
        <v>1654884</v>
      </c>
    </row>
    <row r="32" spans="1:5" x14ac:dyDescent="0.3">
      <c r="A32" s="26">
        <v>20</v>
      </c>
      <c r="B32" s="6">
        <v>3236860</v>
      </c>
      <c r="C32" s="6">
        <v>2208390</v>
      </c>
      <c r="D32" s="6">
        <v>1484890</v>
      </c>
      <c r="E32" s="22">
        <v>1751970</v>
      </c>
    </row>
    <row r="33" spans="1:5" x14ac:dyDescent="0.3">
      <c r="A33" s="24">
        <v>21</v>
      </c>
      <c r="B33" s="11">
        <v>3398703</v>
      </c>
      <c r="C33" s="11">
        <v>2309322</v>
      </c>
      <c r="D33" s="11">
        <v>1549647</v>
      </c>
      <c r="E33" s="22">
        <v>1849056</v>
      </c>
    </row>
    <row r="34" spans="1:5" x14ac:dyDescent="0.3">
      <c r="A34" s="26">
        <v>22</v>
      </c>
      <c r="B34" s="6">
        <v>3560546</v>
      </c>
      <c r="C34" s="6">
        <v>2410254</v>
      </c>
      <c r="D34" s="6">
        <v>1614404</v>
      </c>
      <c r="E34" s="22">
        <v>1946142</v>
      </c>
    </row>
    <row r="35" spans="1:5" x14ac:dyDescent="0.3">
      <c r="A35" s="24">
        <v>23</v>
      </c>
      <c r="B35" s="11">
        <v>3722389</v>
      </c>
      <c r="C35" s="11">
        <v>2511186</v>
      </c>
      <c r="D35" s="11">
        <v>1679161</v>
      </c>
      <c r="E35" s="22">
        <v>2043228</v>
      </c>
    </row>
    <row r="36" spans="1:5" x14ac:dyDescent="0.3">
      <c r="A36" s="26">
        <v>24</v>
      </c>
      <c r="B36" s="6">
        <v>3884232</v>
      </c>
      <c r="C36" s="6">
        <v>2612118</v>
      </c>
      <c r="D36" s="6">
        <v>1743918</v>
      </c>
      <c r="E36" s="22">
        <v>2140314</v>
      </c>
    </row>
    <row r="37" spans="1:5" x14ac:dyDescent="0.3">
      <c r="A37" s="24">
        <v>25</v>
      </c>
      <c r="B37" s="11">
        <v>4046075</v>
      </c>
      <c r="C37" s="11">
        <v>2713050</v>
      </c>
      <c r="D37" s="11">
        <v>1808675</v>
      </c>
      <c r="E37" s="22">
        <v>2237400</v>
      </c>
    </row>
    <row r="38" spans="1:5" x14ac:dyDescent="0.3">
      <c r="A38" s="26">
        <v>26</v>
      </c>
      <c r="B38" s="6">
        <v>4207918</v>
      </c>
      <c r="C38" s="6">
        <v>2813982</v>
      </c>
      <c r="D38" s="6">
        <v>1873432</v>
      </c>
      <c r="E38" s="22">
        <v>2334486</v>
      </c>
    </row>
    <row r="39" spans="1:5" x14ac:dyDescent="0.3">
      <c r="A39" s="24">
        <v>27</v>
      </c>
      <c r="B39" s="11">
        <v>4369761</v>
      </c>
      <c r="C39" s="11">
        <v>2914914</v>
      </c>
      <c r="D39" s="11">
        <v>1938189</v>
      </c>
      <c r="E39" s="22">
        <v>2431572</v>
      </c>
    </row>
    <row r="40" spans="1:5" x14ac:dyDescent="0.3">
      <c r="A40" s="26">
        <v>28</v>
      </c>
      <c r="B40" s="6">
        <v>4531604</v>
      </c>
      <c r="C40" s="6">
        <v>3015846</v>
      </c>
      <c r="D40" s="6">
        <v>2002946</v>
      </c>
      <c r="E40" s="22">
        <v>2528658</v>
      </c>
    </row>
    <row r="41" spans="1:5" x14ac:dyDescent="0.3">
      <c r="A41" s="24">
        <v>29</v>
      </c>
      <c r="B41" s="11">
        <v>4693447</v>
      </c>
      <c r="C41" s="11">
        <v>3116778</v>
      </c>
      <c r="D41" s="11">
        <v>2067703</v>
      </c>
      <c r="E41" s="22">
        <v>2625744</v>
      </c>
    </row>
    <row r="42" spans="1:5" x14ac:dyDescent="0.3">
      <c r="A42" s="26">
        <v>30</v>
      </c>
      <c r="B42" s="6">
        <v>4855290</v>
      </c>
      <c r="C42" s="6">
        <v>3217710</v>
      </c>
      <c r="D42" s="6">
        <v>2132460</v>
      </c>
      <c r="E42" s="22">
        <v>2722830</v>
      </c>
    </row>
    <row r="43" spans="1:5" x14ac:dyDescent="0.3">
      <c r="A43" s="24">
        <v>31</v>
      </c>
      <c r="B43" s="11">
        <v>5017133</v>
      </c>
      <c r="C43" s="11">
        <v>3318642</v>
      </c>
      <c r="D43" s="11">
        <v>2197217</v>
      </c>
      <c r="E43" s="22">
        <v>2819916</v>
      </c>
    </row>
    <row r="44" spans="1:5" x14ac:dyDescent="0.3">
      <c r="A44" s="26">
        <v>32</v>
      </c>
      <c r="B44" s="6">
        <v>5178976</v>
      </c>
      <c r="C44" s="6">
        <v>3419574</v>
      </c>
      <c r="D44" s="6">
        <v>2261974</v>
      </c>
      <c r="E44" s="22">
        <v>2917002</v>
      </c>
    </row>
    <row r="45" spans="1:5" x14ac:dyDescent="0.3">
      <c r="A45" s="24">
        <v>33</v>
      </c>
      <c r="B45" s="11">
        <v>5340819</v>
      </c>
      <c r="C45" s="11">
        <v>3520506</v>
      </c>
      <c r="D45" s="11">
        <v>2326731</v>
      </c>
      <c r="E45" s="22">
        <v>3014088</v>
      </c>
    </row>
    <row r="46" spans="1:5" x14ac:dyDescent="0.3">
      <c r="A46" s="26">
        <v>34</v>
      </c>
      <c r="B46" s="6">
        <v>5502662</v>
      </c>
      <c r="C46" s="6">
        <v>3621438</v>
      </c>
      <c r="D46" s="6">
        <v>2391488</v>
      </c>
      <c r="E46" s="22">
        <v>3111174</v>
      </c>
    </row>
    <row r="47" spans="1:5" x14ac:dyDescent="0.3">
      <c r="A47" s="24">
        <v>35</v>
      </c>
      <c r="B47" s="11">
        <v>5664505</v>
      </c>
      <c r="C47" s="11">
        <v>3722370</v>
      </c>
      <c r="D47" s="11">
        <v>2456245</v>
      </c>
      <c r="E47" s="22">
        <v>3208260</v>
      </c>
    </row>
    <row r="48" spans="1:5" x14ac:dyDescent="0.3">
      <c r="A48" s="26">
        <v>36</v>
      </c>
      <c r="B48" s="6">
        <v>5826348</v>
      </c>
      <c r="C48" s="6">
        <v>3823302</v>
      </c>
      <c r="D48" s="6">
        <v>2521002</v>
      </c>
      <c r="E48" s="22">
        <v>3305346</v>
      </c>
    </row>
  </sheetData>
  <mergeCells count="3">
    <mergeCell ref="A1:N2"/>
    <mergeCell ref="A3:N3"/>
    <mergeCell ref="A11:N1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showGridLines="0" workbookViewId="0">
      <selection sqref="A1:J2"/>
    </sheetView>
  </sheetViews>
  <sheetFormatPr baseColWidth="10" defaultColWidth="8.88671875" defaultRowHeight="14.4" x14ac:dyDescent="0.3"/>
  <cols>
    <col min="1" max="1" width="28" customWidth="1"/>
    <col min="2" max="3" width="14" customWidth="1"/>
    <col min="4" max="9" width="12" customWidth="1"/>
    <col min="10" max="10" width="14" customWidth="1"/>
  </cols>
  <sheetData>
    <row r="1" spans="1:10" x14ac:dyDescent="0.3">
      <c r="A1" s="87" t="s">
        <v>121</v>
      </c>
      <c r="B1" s="79"/>
      <c r="C1" s="79"/>
      <c r="D1" s="79"/>
      <c r="E1" s="79"/>
      <c r="F1" s="79"/>
      <c r="G1" s="79"/>
      <c r="H1" s="79"/>
      <c r="I1" s="79"/>
      <c r="J1" s="80"/>
    </row>
    <row r="2" spans="1:10" x14ac:dyDescent="0.3">
      <c r="A2" s="81"/>
      <c r="B2" s="82"/>
      <c r="C2" s="82"/>
      <c r="D2" s="82"/>
      <c r="E2" s="82"/>
      <c r="F2" s="82"/>
      <c r="G2" s="82"/>
      <c r="H2" s="82"/>
      <c r="I2" s="82"/>
      <c r="J2" s="83"/>
    </row>
    <row r="3" spans="1:10" x14ac:dyDescent="0.3">
      <c r="A3" s="88" t="s">
        <v>122</v>
      </c>
      <c r="B3" s="74"/>
      <c r="C3" s="74"/>
      <c r="D3" s="74"/>
      <c r="E3" s="74"/>
      <c r="F3" s="74"/>
      <c r="G3" s="74"/>
      <c r="H3" s="74"/>
      <c r="I3" s="74"/>
      <c r="J3" s="75"/>
    </row>
    <row r="5" spans="1:10" ht="34.950000000000003" customHeight="1" x14ac:dyDescent="0.3">
      <c r="A5" s="2" t="s">
        <v>123</v>
      </c>
      <c r="B5" s="2" t="s">
        <v>124</v>
      </c>
      <c r="C5" s="2" t="s">
        <v>125</v>
      </c>
      <c r="D5" s="2" t="s">
        <v>126</v>
      </c>
      <c r="E5" s="2" t="s">
        <v>127</v>
      </c>
      <c r="F5" s="2" t="s">
        <v>128</v>
      </c>
      <c r="G5" s="2" t="s">
        <v>129</v>
      </c>
      <c r="H5" s="2" t="s">
        <v>130</v>
      </c>
      <c r="I5" s="2" t="s">
        <v>131</v>
      </c>
      <c r="J5" s="2" t="s">
        <v>132</v>
      </c>
    </row>
    <row r="6" spans="1:10" ht="18" customHeight="1" x14ac:dyDescent="0.3">
      <c r="A6" s="3" t="s">
        <v>133</v>
      </c>
      <c r="B6" s="27">
        <v>41064</v>
      </c>
      <c r="C6" s="28">
        <v>22105</v>
      </c>
      <c r="D6" s="27">
        <v>9642</v>
      </c>
      <c r="E6" s="28">
        <v>5190</v>
      </c>
      <c r="F6" s="27">
        <v>3756</v>
      </c>
      <c r="G6" s="28">
        <v>2022</v>
      </c>
      <c r="H6" s="27">
        <v>4984</v>
      </c>
      <c r="I6" s="28">
        <v>2683</v>
      </c>
      <c r="J6" s="29">
        <v>59446</v>
      </c>
    </row>
    <row r="7" spans="1:10" ht="18" customHeight="1" x14ac:dyDescent="0.3">
      <c r="A7" s="9" t="s">
        <v>32</v>
      </c>
      <c r="B7" s="27">
        <v>22599</v>
      </c>
      <c r="C7" s="28">
        <v>10723</v>
      </c>
      <c r="D7" s="27">
        <v>5656</v>
      </c>
      <c r="E7" s="28">
        <v>2684</v>
      </c>
      <c r="F7" s="27">
        <v>1260</v>
      </c>
      <c r="G7" s="28">
        <v>598</v>
      </c>
      <c r="H7" s="27">
        <v>2097</v>
      </c>
      <c r="I7" s="28">
        <v>995</v>
      </c>
      <c r="J7" s="30">
        <v>31612</v>
      </c>
    </row>
    <row r="8" spans="1:10" ht="18" customHeight="1" x14ac:dyDescent="0.3">
      <c r="A8" s="3" t="s">
        <v>35</v>
      </c>
      <c r="B8" s="27">
        <v>15070</v>
      </c>
      <c r="C8" s="28">
        <v>2100</v>
      </c>
      <c r="D8" s="27">
        <v>3</v>
      </c>
      <c r="E8" s="28">
        <v>0</v>
      </c>
      <c r="F8" s="27">
        <v>0</v>
      </c>
      <c r="G8" s="28">
        <v>0</v>
      </c>
      <c r="H8" s="27">
        <v>0</v>
      </c>
      <c r="I8" s="28">
        <v>0</v>
      </c>
      <c r="J8" s="29">
        <v>15073</v>
      </c>
    </row>
    <row r="9" spans="1:10" ht="18" customHeight="1" x14ac:dyDescent="0.3">
      <c r="A9" s="9" t="s">
        <v>39</v>
      </c>
      <c r="B9" s="27">
        <v>10084</v>
      </c>
      <c r="C9" s="28">
        <v>4551</v>
      </c>
      <c r="D9" s="27">
        <v>873</v>
      </c>
      <c r="E9" s="28">
        <v>394</v>
      </c>
      <c r="F9" s="27">
        <v>68</v>
      </c>
      <c r="G9" s="28">
        <v>31</v>
      </c>
      <c r="H9" s="27">
        <v>53</v>
      </c>
      <c r="I9" s="28">
        <v>24</v>
      </c>
      <c r="J9" s="30">
        <v>11078</v>
      </c>
    </row>
    <row r="10" spans="1:10" ht="18" customHeight="1" x14ac:dyDescent="0.3">
      <c r="A10" s="3" t="s">
        <v>42</v>
      </c>
      <c r="B10" s="27">
        <v>9293</v>
      </c>
      <c r="C10" s="28">
        <v>1093</v>
      </c>
      <c r="D10" s="27">
        <v>271</v>
      </c>
      <c r="E10" s="28">
        <v>32</v>
      </c>
      <c r="F10" s="27">
        <v>0</v>
      </c>
      <c r="G10" s="28">
        <v>0</v>
      </c>
      <c r="H10" s="27">
        <v>638</v>
      </c>
      <c r="I10" s="28">
        <v>75</v>
      </c>
      <c r="J10" s="29">
        <v>10202</v>
      </c>
    </row>
    <row r="11" spans="1:10" ht="18" customHeight="1" x14ac:dyDescent="0.3">
      <c r="A11" s="9" t="s">
        <v>45</v>
      </c>
      <c r="B11" s="27">
        <v>9285</v>
      </c>
      <c r="C11" s="28">
        <v>515</v>
      </c>
      <c r="D11" s="27">
        <v>185</v>
      </c>
      <c r="E11" s="28">
        <v>10</v>
      </c>
      <c r="F11" s="27">
        <v>185</v>
      </c>
      <c r="G11" s="28">
        <v>10</v>
      </c>
      <c r="H11" s="27">
        <v>0</v>
      </c>
      <c r="I11" s="28">
        <v>0</v>
      </c>
      <c r="J11" s="30">
        <v>9655</v>
      </c>
    </row>
    <row r="12" spans="1:10" ht="18" customHeight="1" x14ac:dyDescent="0.3">
      <c r="A12" s="3" t="s">
        <v>47</v>
      </c>
      <c r="B12" s="27">
        <v>5548</v>
      </c>
      <c r="C12" s="28">
        <v>588</v>
      </c>
      <c r="D12" s="27">
        <v>43</v>
      </c>
      <c r="E12" s="28">
        <v>5</v>
      </c>
      <c r="F12" s="27">
        <v>0</v>
      </c>
      <c r="G12" s="28">
        <v>0</v>
      </c>
      <c r="H12" s="27">
        <v>1018</v>
      </c>
      <c r="I12" s="28">
        <v>108</v>
      </c>
      <c r="J12" s="29">
        <v>6609</v>
      </c>
    </row>
    <row r="13" spans="1:10" ht="18" customHeight="1" x14ac:dyDescent="0.3">
      <c r="A13" s="9" t="s">
        <v>50</v>
      </c>
      <c r="B13" s="27">
        <v>1858</v>
      </c>
      <c r="C13" s="28">
        <v>750</v>
      </c>
      <c r="D13" s="27">
        <v>405</v>
      </c>
      <c r="E13" s="28">
        <v>164</v>
      </c>
      <c r="F13" s="27">
        <v>90</v>
      </c>
      <c r="G13" s="28">
        <v>36</v>
      </c>
      <c r="H13" s="27">
        <v>0</v>
      </c>
      <c r="I13" s="28">
        <v>0</v>
      </c>
      <c r="J13" s="30">
        <v>2353</v>
      </c>
    </row>
    <row r="14" spans="1:10" ht="18" customHeight="1" x14ac:dyDescent="0.3">
      <c r="A14" s="3" t="s">
        <v>53</v>
      </c>
      <c r="B14" s="27">
        <v>1518</v>
      </c>
      <c r="C14" s="28">
        <v>665</v>
      </c>
      <c r="D14" s="27">
        <v>527</v>
      </c>
      <c r="E14" s="28">
        <v>231</v>
      </c>
      <c r="F14" s="27">
        <v>0</v>
      </c>
      <c r="G14" s="28">
        <v>0</v>
      </c>
      <c r="H14" s="27">
        <v>124</v>
      </c>
      <c r="I14" s="28">
        <v>54</v>
      </c>
      <c r="J14" s="29">
        <v>2169</v>
      </c>
    </row>
    <row r="15" spans="1:10" ht="18" customHeight="1" x14ac:dyDescent="0.3">
      <c r="A15" s="9" t="s">
        <v>56</v>
      </c>
      <c r="B15" s="27">
        <v>1476</v>
      </c>
      <c r="C15" s="28">
        <v>436</v>
      </c>
      <c r="D15" s="27">
        <v>148</v>
      </c>
      <c r="E15" s="28">
        <v>44</v>
      </c>
      <c r="F15" s="27">
        <v>0</v>
      </c>
      <c r="G15" s="28">
        <v>0</v>
      </c>
      <c r="H15" s="27">
        <v>0</v>
      </c>
      <c r="I15" s="28">
        <v>0</v>
      </c>
      <c r="J15" s="30">
        <v>1624</v>
      </c>
    </row>
    <row r="16" spans="1:10" ht="18" customHeight="1" x14ac:dyDescent="0.3">
      <c r="A16" s="3" t="s">
        <v>59</v>
      </c>
      <c r="B16" s="27">
        <v>1404</v>
      </c>
      <c r="C16" s="28">
        <v>691</v>
      </c>
      <c r="D16" s="27">
        <v>534</v>
      </c>
      <c r="E16" s="28">
        <v>263</v>
      </c>
      <c r="F16" s="27">
        <v>16</v>
      </c>
      <c r="G16" s="28">
        <v>8</v>
      </c>
      <c r="H16" s="27">
        <v>0</v>
      </c>
      <c r="I16" s="28">
        <v>0</v>
      </c>
      <c r="J16" s="29">
        <v>1954</v>
      </c>
    </row>
    <row r="17" spans="1:10" ht="18" customHeight="1" x14ac:dyDescent="0.3">
      <c r="A17" s="9" t="s">
        <v>62</v>
      </c>
      <c r="B17" s="27">
        <v>965</v>
      </c>
      <c r="C17" s="28">
        <v>460</v>
      </c>
      <c r="D17" s="27">
        <v>0</v>
      </c>
      <c r="E17" s="28">
        <v>0</v>
      </c>
      <c r="F17" s="27">
        <v>0</v>
      </c>
      <c r="G17" s="28">
        <v>0</v>
      </c>
      <c r="H17" s="27">
        <v>0</v>
      </c>
      <c r="I17" s="28">
        <v>0</v>
      </c>
      <c r="J17" s="30">
        <v>965</v>
      </c>
    </row>
    <row r="18" spans="1:10" ht="18" customHeight="1" x14ac:dyDescent="0.3">
      <c r="A18" s="3" t="s">
        <v>65</v>
      </c>
      <c r="B18" s="27">
        <v>706</v>
      </c>
      <c r="C18" s="28">
        <v>428</v>
      </c>
      <c r="D18" s="27">
        <v>304</v>
      </c>
      <c r="E18" s="28">
        <v>184</v>
      </c>
      <c r="F18" s="27">
        <v>147</v>
      </c>
      <c r="G18" s="28">
        <v>89</v>
      </c>
      <c r="H18" s="27">
        <v>244</v>
      </c>
      <c r="I18" s="28">
        <v>148</v>
      </c>
      <c r="J18" s="29">
        <v>1401</v>
      </c>
    </row>
    <row r="19" spans="1:10" ht="18" customHeight="1" x14ac:dyDescent="0.3">
      <c r="A19" s="9" t="s">
        <v>68</v>
      </c>
      <c r="B19" s="27">
        <v>421</v>
      </c>
      <c r="C19" s="28">
        <v>244</v>
      </c>
      <c r="D19" s="27">
        <v>262</v>
      </c>
      <c r="E19" s="28">
        <v>152</v>
      </c>
      <c r="F19" s="27">
        <v>42</v>
      </c>
      <c r="G19" s="28">
        <v>24</v>
      </c>
      <c r="H19" s="27">
        <v>0</v>
      </c>
      <c r="I19" s="28">
        <v>0</v>
      </c>
      <c r="J19" s="30">
        <v>725</v>
      </c>
    </row>
    <row r="20" spans="1:10" ht="18" customHeight="1" x14ac:dyDescent="0.3">
      <c r="A20" s="3" t="s">
        <v>71</v>
      </c>
      <c r="B20" s="27">
        <v>343</v>
      </c>
      <c r="C20" s="28">
        <v>184</v>
      </c>
      <c r="D20" s="27">
        <v>325</v>
      </c>
      <c r="E20" s="28">
        <v>174</v>
      </c>
      <c r="F20" s="27">
        <v>228</v>
      </c>
      <c r="G20" s="28">
        <v>122</v>
      </c>
      <c r="H20" s="27">
        <v>0</v>
      </c>
      <c r="I20" s="28">
        <v>0</v>
      </c>
      <c r="J20" s="29">
        <v>896</v>
      </c>
    </row>
    <row r="21" spans="1:10" ht="18" customHeight="1" x14ac:dyDescent="0.3">
      <c r="A21" s="9" t="s">
        <v>74</v>
      </c>
      <c r="B21" s="27">
        <v>270</v>
      </c>
      <c r="C21" s="28">
        <v>96</v>
      </c>
      <c r="D21" s="27">
        <v>62</v>
      </c>
      <c r="E21" s="28">
        <v>22</v>
      </c>
      <c r="F21" s="27">
        <v>33</v>
      </c>
      <c r="G21" s="28">
        <v>12</v>
      </c>
      <c r="H21" s="27">
        <v>0</v>
      </c>
      <c r="I21" s="28">
        <v>0</v>
      </c>
      <c r="J21" s="30">
        <v>365</v>
      </c>
    </row>
    <row r="22" spans="1:10" ht="18" customHeight="1" x14ac:dyDescent="0.3">
      <c r="A22" s="3" t="s">
        <v>77</v>
      </c>
      <c r="B22" s="27">
        <v>0</v>
      </c>
      <c r="C22" s="28">
        <v>0</v>
      </c>
      <c r="D22" s="27">
        <v>0</v>
      </c>
      <c r="E22" s="28">
        <v>0</v>
      </c>
      <c r="F22" s="27">
        <v>0</v>
      </c>
      <c r="G22" s="28">
        <v>0</v>
      </c>
      <c r="H22" s="27">
        <v>1080</v>
      </c>
      <c r="I22" s="28">
        <v>220</v>
      </c>
      <c r="J22" s="29">
        <v>1080</v>
      </c>
    </row>
    <row r="23" spans="1:10" ht="18" customHeight="1" x14ac:dyDescent="0.3">
      <c r="A23" s="9" t="s">
        <v>80</v>
      </c>
      <c r="B23" s="27">
        <v>0</v>
      </c>
      <c r="C23" s="28">
        <v>0</v>
      </c>
      <c r="D23" s="27">
        <v>0</v>
      </c>
      <c r="E23" s="28">
        <v>0</v>
      </c>
      <c r="F23" s="27">
        <v>50</v>
      </c>
      <c r="G23" s="28">
        <v>27</v>
      </c>
      <c r="H23" s="27">
        <v>2151</v>
      </c>
      <c r="I23" s="28">
        <v>1173</v>
      </c>
      <c r="J23" s="30">
        <v>2201</v>
      </c>
    </row>
    <row r="24" spans="1:10" ht="18" customHeight="1" x14ac:dyDescent="0.3">
      <c r="A24" s="3" t="s">
        <v>83</v>
      </c>
      <c r="B24" s="27">
        <v>0</v>
      </c>
      <c r="C24" s="28">
        <v>0</v>
      </c>
      <c r="D24" s="27">
        <v>0</v>
      </c>
      <c r="E24" s="28">
        <v>0</v>
      </c>
      <c r="F24" s="27">
        <v>0</v>
      </c>
      <c r="G24" s="28">
        <v>0</v>
      </c>
      <c r="H24" s="27">
        <v>478</v>
      </c>
      <c r="I24" s="28">
        <v>190</v>
      </c>
      <c r="J24" s="29">
        <v>478</v>
      </c>
    </row>
    <row r="25" spans="1:10" ht="18" customHeight="1" x14ac:dyDescent="0.3">
      <c r="A25" s="9" t="s">
        <v>86</v>
      </c>
      <c r="B25" s="27">
        <v>0</v>
      </c>
      <c r="C25" s="28">
        <v>0</v>
      </c>
      <c r="D25" s="27">
        <v>0</v>
      </c>
      <c r="E25" s="28">
        <v>0</v>
      </c>
      <c r="F25" s="27">
        <v>0</v>
      </c>
      <c r="G25" s="28">
        <v>0</v>
      </c>
      <c r="H25" s="27">
        <v>459</v>
      </c>
      <c r="I25" s="28">
        <v>260</v>
      </c>
      <c r="J25" s="30">
        <v>459</v>
      </c>
    </row>
    <row r="26" spans="1:10" ht="18" customHeight="1" x14ac:dyDescent="0.3">
      <c r="A26" s="3" t="s">
        <v>89</v>
      </c>
      <c r="B26" s="27">
        <v>121</v>
      </c>
      <c r="C26" s="28">
        <v>54</v>
      </c>
      <c r="D26" s="27">
        <v>0</v>
      </c>
      <c r="E26" s="28">
        <v>0</v>
      </c>
      <c r="F26" s="27">
        <v>0</v>
      </c>
      <c r="G26" s="28">
        <v>0</v>
      </c>
      <c r="H26" s="27">
        <v>729</v>
      </c>
      <c r="I26" s="28">
        <v>326</v>
      </c>
      <c r="J26" s="29">
        <v>850</v>
      </c>
    </row>
    <row r="27" spans="1:10" ht="18" customHeight="1" x14ac:dyDescent="0.3">
      <c r="A27" s="9" t="s">
        <v>92</v>
      </c>
      <c r="B27" s="27">
        <v>319</v>
      </c>
      <c r="C27" s="28">
        <v>130</v>
      </c>
      <c r="D27" s="27">
        <v>0</v>
      </c>
      <c r="E27" s="28">
        <v>0</v>
      </c>
      <c r="F27" s="27">
        <v>0</v>
      </c>
      <c r="G27" s="28">
        <v>0</v>
      </c>
      <c r="H27" s="27">
        <v>0</v>
      </c>
      <c r="I27" s="28">
        <v>0</v>
      </c>
      <c r="J27" s="30">
        <v>319</v>
      </c>
    </row>
    <row r="28" spans="1:10" ht="18" customHeight="1" x14ac:dyDescent="0.3">
      <c r="A28" s="3" t="s">
        <v>95</v>
      </c>
      <c r="B28" s="27">
        <v>217</v>
      </c>
      <c r="C28" s="28">
        <v>106</v>
      </c>
      <c r="D28" s="27">
        <v>37</v>
      </c>
      <c r="E28" s="28">
        <v>18</v>
      </c>
      <c r="F28" s="27">
        <v>69</v>
      </c>
      <c r="G28" s="28">
        <v>34</v>
      </c>
      <c r="H28" s="27">
        <v>6</v>
      </c>
      <c r="I28" s="28">
        <v>3</v>
      </c>
      <c r="J28" s="29">
        <v>329</v>
      </c>
    </row>
    <row r="29" spans="1:10" ht="22.05" customHeight="1" x14ac:dyDescent="0.3">
      <c r="A29" s="90" t="s">
        <v>134</v>
      </c>
      <c r="B29" s="21">
        <v>123173</v>
      </c>
      <c r="C29" s="7">
        <v>45919</v>
      </c>
      <c r="D29" s="21">
        <v>19314</v>
      </c>
      <c r="E29" s="7">
        <v>9566</v>
      </c>
      <c r="F29" s="21">
        <v>5953</v>
      </c>
      <c r="G29" s="7">
        <v>3013</v>
      </c>
      <c r="H29" s="21">
        <v>15462</v>
      </c>
      <c r="I29" s="7">
        <v>6259</v>
      </c>
      <c r="J29" s="15">
        <v>163902</v>
      </c>
    </row>
    <row r="32" spans="1:10" x14ac:dyDescent="0.3">
      <c r="A32" s="89" t="s">
        <v>135</v>
      </c>
      <c r="B32" s="74"/>
      <c r="C32" s="74"/>
      <c r="D32" s="74"/>
      <c r="E32" s="74"/>
      <c r="F32" s="74"/>
      <c r="G32" s="74"/>
      <c r="H32" s="74"/>
      <c r="I32" s="74"/>
      <c r="J32" s="75"/>
    </row>
    <row r="33" spans="1:3" x14ac:dyDescent="0.3">
      <c r="A33" t="s">
        <v>136</v>
      </c>
      <c r="B33" t="s">
        <v>137</v>
      </c>
      <c r="C33" t="s">
        <v>138</v>
      </c>
    </row>
    <row r="34" spans="1:3" x14ac:dyDescent="0.3">
      <c r="A34" t="s">
        <v>139</v>
      </c>
      <c r="B34">
        <v>123173</v>
      </c>
      <c r="C34">
        <v>45919</v>
      </c>
    </row>
    <row r="35" spans="1:3" x14ac:dyDescent="0.3">
      <c r="A35" t="s">
        <v>140</v>
      </c>
      <c r="B35">
        <v>19314</v>
      </c>
      <c r="C35">
        <v>9566</v>
      </c>
    </row>
    <row r="36" spans="1:3" x14ac:dyDescent="0.3">
      <c r="A36" t="s">
        <v>141</v>
      </c>
      <c r="B36">
        <v>5953</v>
      </c>
      <c r="C36">
        <v>3013</v>
      </c>
    </row>
    <row r="37" spans="1:3" x14ac:dyDescent="0.3">
      <c r="A37" t="s">
        <v>142</v>
      </c>
      <c r="B37">
        <v>15462</v>
      </c>
      <c r="C37">
        <v>6259</v>
      </c>
    </row>
  </sheetData>
  <mergeCells count="4">
    <mergeCell ref="A29"/>
    <mergeCell ref="A32:J32"/>
    <mergeCell ref="A1:J2"/>
    <mergeCell ref="A3:J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"/>
  <sheetViews>
    <sheetView showGridLines="0" workbookViewId="0">
      <selection sqref="A1:L2"/>
    </sheetView>
  </sheetViews>
  <sheetFormatPr baseColWidth="10" defaultColWidth="8.88671875" defaultRowHeight="14.4" x14ac:dyDescent="0.3"/>
  <cols>
    <col min="1" max="1" width="28" customWidth="1"/>
    <col min="2" max="2" width="26" customWidth="1"/>
    <col min="3" max="3" width="12" customWidth="1"/>
    <col min="4" max="5" width="16" customWidth="1"/>
    <col min="6" max="7" width="14" customWidth="1"/>
    <col min="8" max="8" width="16" customWidth="1"/>
    <col min="9" max="9" width="14" customWidth="1"/>
    <col min="10" max="10" width="12" customWidth="1"/>
  </cols>
  <sheetData>
    <row r="1" spans="1:12" x14ac:dyDescent="0.3">
      <c r="A1" s="87" t="s">
        <v>143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12" x14ac:dyDescent="0.3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2" x14ac:dyDescent="0.3">
      <c r="A3" s="88" t="s">
        <v>144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5"/>
    </row>
    <row r="5" spans="1:12" ht="34.950000000000003" customHeight="1" x14ac:dyDescent="0.3">
      <c r="A5" s="2" t="s">
        <v>145</v>
      </c>
      <c r="B5" s="2" t="s">
        <v>146</v>
      </c>
      <c r="C5" s="2" t="s">
        <v>147</v>
      </c>
      <c r="D5" s="2" t="s">
        <v>148</v>
      </c>
      <c r="E5" s="2" t="s">
        <v>149</v>
      </c>
      <c r="F5" s="2" t="s">
        <v>150</v>
      </c>
      <c r="G5" s="2" t="s">
        <v>151</v>
      </c>
      <c r="H5" s="2" t="s">
        <v>152</v>
      </c>
      <c r="I5" s="2" t="s">
        <v>153</v>
      </c>
      <c r="J5" s="2" t="s">
        <v>154</v>
      </c>
    </row>
    <row r="6" spans="1:12" ht="18" customHeight="1" x14ac:dyDescent="0.3">
      <c r="A6" s="3" t="s">
        <v>155</v>
      </c>
      <c r="B6" s="4" t="s">
        <v>156</v>
      </c>
      <c r="C6" s="31">
        <v>0.15</v>
      </c>
      <c r="D6" s="27">
        <v>49654</v>
      </c>
      <c r="E6" s="28">
        <v>42205</v>
      </c>
      <c r="F6" s="7">
        <v>7449</v>
      </c>
      <c r="G6" s="7">
        <v>89388</v>
      </c>
      <c r="H6" s="26" t="s">
        <v>157</v>
      </c>
      <c r="I6" s="32" t="s">
        <v>158</v>
      </c>
      <c r="J6" s="33" t="s">
        <v>159</v>
      </c>
    </row>
    <row r="7" spans="1:12" ht="18" customHeight="1" x14ac:dyDescent="0.3">
      <c r="A7" s="9" t="s">
        <v>160</v>
      </c>
      <c r="B7" s="10" t="s">
        <v>156</v>
      </c>
      <c r="C7" s="34">
        <v>0.33</v>
      </c>
      <c r="D7" s="27">
        <v>49405</v>
      </c>
      <c r="E7" s="28">
        <v>33101</v>
      </c>
      <c r="F7" s="7">
        <v>16304</v>
      </c>
      <c r="G7" s="7">
        <v>195648</v>
      </c>
      <c r="H7" s="24" t="s">
        <v>161</v>
      </c>
      <c r="I7" s="32" t="s">
        <v>158</v>
      </c>
      <c r="J7" s="33" t="s">
        <v>159</v>
      </c>
    </row>
    <row r="8" spans="1:12" ht="18" customHeight="1" x14ac:dyDescent="0.3">
      <c r="A8" s="3" t="s">
        <v>162</v>
      </c>
      <c r="B8" s="4" t="s">
        <v>163</v>
      </c>
      <c r="C8" s="31">
        <v>0.3</v>
      </c>
      <c r="D8" s="27">
        <v>8500</v>
      </c>
      <c r="E8" s="28">
        <v>5950</v>
      </c>
      <c r="F8" s="7">
        <v>2550</v>
      </c>
      <c r="G8" s="7">
        <v>30600</v>
      </c>
      <c r="H8" s="26" t="s">
        <v>157</v>
      </c>
      <c r="I8" s="32" t="s">
        <v>158</v>
      </c>
      <c r="J8" s="33" t="s">
        <v>159</v>
      </c>
    </row>
    <row r="9" spans="1:12" ht="18" customHeight="1" x14ac:dyDescent="0.3">
      <c r="A9" s="9" t="s">
        <v>164</v>
      </c>
      <c r="B9" s="10" t="s">
        <v>163</v>
      </c>
      <c r="C9" s="34">
        <v>0.48</v>
      </c>
      <c r="D9" s="27">
        <v>8500</v>
      </c>
      <c r="E9" s="28">
        <v>4420</v>
      </c>
      <c r="F9" s="7">
        <v>4080</v>
      </c>
      <c r="G9" s="7">
        <v>48960</v>
      </c>
      <c r="H9" s="24" t="s">
        <v>161</v>
      </c>
      <c r="I9" s="32" t="s">
        <v>158</v>
      </c>
      <c r="J9" s="33" t="s">
        <v>159</v>
      </c>
    </row>
    <row r="10" spans="1:12" ht="18" customHeight="1" x14ac:dyDescent="0.3">
      <c r="A10" s="3" t="s">
        <v>165</v>
      </c>
      <c r="B10" s="4" t="s">
        <v>166</v>
      </c>
      <c r="C10" s="31">
        <v>0.35</v>
      </c>
      <c r="D10" s="27">
        <v>1660</v>
      </c>
      <c r="E10" s="28">
        <v>1079</v>
      </c>
      <c r="F10" s="7">
        <v>581</v>
      </c>
      <c r="G10" s="7">
        <v>6972</v>
      </c>
      <c r="H10" s="26" t="s">
        <v>157</v>
      </c>
      <c r="I10" s="32" t="s">
        <v>158</v>
      </c>
      <c r="J10" s="35" t="s">
        <v>167</v>
      </c>
    </row>
    <row r="11" spans="1:12" ht="18" customHeight="1" x14ac:dyDescent="0.3">
      <c r="A11" s="9" t="s">
        <v>168</v>
      </c>
      <c r="B11" s="10" t="s">
        <v>169</v>
      </c>
      <c r="C11" s="34">
        <v>0.7</v>
      </c>
      <c r="D11" s="27">
        <v>10000</v>
      </c>
      <c r="E11" s="28">
        <v>3000</v>
      </c>
      <c r="F11" s="7">
        <v>7000</v>
      </c>
      <c r="G11" s="7">
        <v>84000</v>
      </c>
      <c r="H11" s="24" t="s">
        <v>170</v>
      </c>
      <c r="I11" s="12" t="s">
        <v>167</v>
      </c>
      <c r="J11" s="33" t="s">
        <v>159</v>
      </c>
    </row>
    <row r="12" spans="1:12" ht="18" customHeight="1" x14ac:dyDescent="0.3">
      <c r="A12" s="3" t="s">
        <v>171</v>
      </c>
      <c r="B12" s="4" t="s">
        <v>172</v>
      </c>
      <c r="C12" s="31">
        <v>0.15</v>
      </c>
      <c r="D12" s="27">
        <v>49654</v>
      </c>
      <c r="E12" s="28">
        <v>42206</v>
      </c>
      <c r="F12" s="7">
        <v>7448</v>
      </c>
      <c r="G12" s="7">
        <v>89376</v>
      </c>
      <c r="H12" s="26" t="s">
        <v>173</v>
      </c>
      <c r="I12" s="12" t="s">
        <v>167</v>
      </c>
      <c r="J12" s="33" t="s">
        <v>159</v>
      </c>
    </row>
    <row r="13" spans="1:12" ht="18" customHeight="1" x14ac:dyDescent="0.3">
      <c r="A13" s="9" t="s">
        <v>174</v>
      </c>
      <c r="B13" s="10" t="s">
        <v>175</v>
      </c>
      <c r="C13" s="34">
        <v>0.12</v>
      </c>
      <c r="D13" s="27">
        <v>49654</v>
      </c>
      <c r="E13" s="28">
        <v>43696</v>
      </c>
      <c r="F13" s="7">
        <v>5958</v>
      </c>
      <c r="G13" s="7">
        <v>71496</v>
      </c>
      <c r="H13" s="24" t="s">
        <v>176</v>
      </c>
      <c r="I13" s="32" t="s">
        <v>158</v>
      </c>
      <c r="J13" s="33" t="s">
        <v>159</v>
      </c>
    </row>
    <row r="14" spans="1:12" ht="18" customHeight="1" x14ac:dyDescent="0.3">
      <c r="A14" s="3" t="s">
        <v>177</v>
      </c>
      <c r="B14" s="4" t="s">
        <v>178</v>
      </c>
      <c r="C14" s="31">
        <v>0.2</v>
      </c>
      <c r="D14" s="27">
        <v>22000</v>
      </c>
      <c r="E14" s="28">
        <v>17600</v>
      </c>
      <c r="F14" s="7">
        <v>4400</v>
      </c>
      <c r="G14" s="7">
        <v>52800</v>
      </c>
      <c r="H14" s="26" t="s">
        <v>179</v>
      </c>
      <c r="I14" s="32" t="s">
        <v>158</v>
      </c>
      <c r="J14" s="35" t="s">
        <v>167</v>
      </c>
    </row>
    <row r="15" spans="1:12" ht="18" customHeight="1" x14ac:dyDescent="0.3">
      <c r="A15" s="9" t="s">
        <v>180</v>
      </c>
      <c r="B15" s="10" t="s">
        <v>181</v>
      </c>
      <c r="C15" s="34">
        <v>0.2</v>
      </c>
      <c r="D15" s="27">
        <v>10160</v>
      </c>
      <c r="E15" s="28">
        <v>8128</v>
      </c>
      <c r="F15" s="7">
        <v>2032</v>
      </c>
      <c r="G15" s="7">
        <v>24384</v>
      </c>
      <c r="H15" s="24" t="s">
        <v>157</v>
      </c>
      <c r="I15" s="12" t="s">
        <v>167</v>
      </c>
      <c r="J15" s="33" t="s">
        <v>159</v>
      </c>
    </row>
    <row r="16" spans="1:12" ht="18" customHeight="1" x14ac:dyDescent="0.3">
      <c r="A16" s="3" t="s">
        <v>182</v>
      </c>
      <c r="B16" s="4" t="s">
        <v>183</v>
      </c>
      <c r="C16" s="31">
        <v>0.95</v>
      </c>
      <c r="D16" s="27">
        <v>9655</v>
      </c>
      <c r="E16" s="28">
        <v>483</v>
      </c>
      <c r="F16" s="7">
        <v>9172</v>
      </c>
      <c r="G16" s="7">
        <v>110064</v>
      </c>
      <c r="H16" s="26" t="s">
        <v>170</v>
      </c>
      <c r="I16" s="36" t="s">
        <v>159</v>
      </c>
      <c r="J16" s="37" t="s">
        <v>184</v>
      </c>
    </row>
    <row r="17" spans="1:12" ht="18" customHeight="1" x14ac:dyDescent="0.3">
      <c r="A17" s="9" t="s">
        <v>185</v>
      </c>
      <c r="B17" s="10" t="s">
        <v>186</v>
      </c>
      <c r="C17" s="34">
        <v>0.82</v>
      </c>
      <c r="D17" s="27">
        <v>6609</v>
      </c>
      <c r="E17" s="28">
        <v>1190</v>
      </c>
      <c r="F17" s="7">
        <v>5419</v>
      </c>
      <c r="G17" s="7">
        <v>65028</v>
      </c>
      <c r="H17" s="24" t="s">
        <v>173</v>
      </c>
      <c r="I17" s="12" t="s">
        <v>167</v>
      </c>
      <c r="J17" s="33" t="s">
        <v>159</v>
      </c>
    </row>
    <row r="18" spans="1:12" ht="18" customHeight="1" x14ac:dyDescent="0.3">
      <c r="A18" s="3" t="s">
        <v>187</v>
      </c>
      <c r="B18" s="4" t="s">
        <v>188</v>
      </c>
      <c r="C18" s="31">
        <v>0.65</v>
      </c>
      <c r="D18" s="27">
        <v>5000</v>
      </c>
      <c r="E18" s="28">
        <v>1750</v>
      </c>
      <c r="F18" s="7">
        <v>3250</v>
      </c>
      <c r="G18" s="7">
        <v>39000</v>
      </c>
      <c r="H18" s="26" t="s">
        <v>157</v>
      </c>
      <c r="I18" s="12" t="s">
        <v>167</v>
      </c>
      <c r="J18" s="35" t="s">
        <v>167</v>
      </c>
    </row>
    <row r="19" spans="1:12" ht="18" customHeight="1" x14ac:dyDescent="0.3">
      <c r="A19" s="9" t="s">
        <v>189</v>
      </c>
      <c r="B19" s="10" t="s">
        <v>190</v>
      </c>
      <c r="C19" s="34">
        <v>0.3</v>
      </c>
      <c r="D19" s="27">
        <v>1820</v>
      </c>
      <c r="E19" s="28">
        <v>1274</v>
      </c>
      <c r="F19" s="7">
        <v>546</v>
      </c>
      <c r="G19" s="7">
        <v>6552</v>
      </c>
      <c r="H19" s="24" t="s">
        <v>161</v>
      </c>
      <c r="I19" s="32" t="s">
        <v>158</v>
      </c>
      <c r="J19" s="35" t="s">
        <v>167</v>
      </c>
    </row>
    <row r="20" spans="1:12" ht="18" customHeight="1" x14ac:dyDescent="0.3">
      <c r="A20" s="3" t="s">
        <v>191</v>
      </c>
      <c r="B20" s="4" t="s">
        <v>192</v>
      </c>
      <c r="C20" s="31">
        <v>1</v>
      </c>
      <c r="D20" s="27">
        <v>3862</v>
      </c>
      <c r="E20" s="28">
        <v>0</v>
      </c>
      <c r="F20" s="7">
        <v>3862</v>
      </c>
      <c r="G20" s="7">
        <v>46344</v>
      </c>
      <c r="H20" s="26" t="s">
        <v>179</v>
      </c>
      <c r="I20" s="32" t="s">
        <v>158</v>
      </c>
      <c r="J20" s="33" t="s">
        <v>159</v>
      </c>
    </row>
    <row r="21" spans="1:12" ht="22.05" customHeight="1" x14ac:dyDescent="0.3">
      <c r="A21" s="90" t="s">
        <v>193</v>
      </c>
      <c r="B21" s="74"/>
      <c r="C21" s="75"/>
      <c r="D21" s="15">
        <v>279116</v>
      </c>
      <c r="E21" s="16">
        <v>183599</v>
      </c>
      <c r="F21" s="16">
        <v>82617</v>
      </c>
      <c r="G21" s="16">
        <v>991404</v>
      </c>
    </row>
    <row r="24" spans="1:12" x14ac:dyDescent="0.3">
      <c r="A24" s="89" t="s">
        <v>194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x14ac:dyDescent="0.3">
      <c r="A25" t="s">
        <v>155</v>
      </c>
      <c r="B25">
        <v>89388</v>
      </c>
    </row>
    <row r="26" spans="1:12" x14ac:dyDescent="0.3">
      <c r="A26" t="s">
        <v>160</v>
      </c>
      <c r="B26">
        <v>195648</v>
      </c>
    </row>
    <row r="27" spans="1:12" x14ac:dyDescent="0.3">
      <c r="A27" t="s">
        <v>195</v>
      </c>
      <c r="B27">
        <v>30600</v>
      </c>
    </row>
    <row r="28" spans="1:12" x14ac:dyDescent="0.3">
      <c r="A28" t="s">
        <v>196</v>
      </c>
      <c r="B28">
        <v>48960</v>
      </c>
    </row>
    <row r="29" spans="1:12" x14ac:dyDescent="0.3">
      <c r="A29" t="s">
        <v>197</v>
      </c>
      <c r="B29">
        <v>6972</v>
      </c>
    </row>
    <row r="30" spans="1:12" x14ac:dyDescent="0.3">
      <c r="A30" t="s">
        <v>198</v>
      </c>
      <c r="B30">
        <v>84000</v>
      </c>
    </row>
    <row r="31" spans="1:12" x14ac:dyDescent="0.3">
      <c r="A31" t="s">
        <v>171</v>
      </c>
      <c r="B31">
        <v>89376</v>
      </c>
    </row>
    <row r="32" spans="1:12" x14ac:dyDescent="0.3">
      <c r="A32" t="s">
        <v>199</v>
      </c>
      <c r="B32">
        <v>71496</v>
      </c>
    </row>
    <row r="33" spans="1:2" x14ac:dyDescent="0.3">
      <c r="A33" t="s">
        <v>177</v>
      </c>
      <c r="B33">
        <v>52800</v>
      </c>
    </row>
    <row r="34" spans="1:2" x14ac:dyDescent="0.3">
      <c r="A34" t="s">
        <v>200</v>
      </c>
      <c r="B34">
        <v>24384</v>
      </c>
    </row>
    <row r="35" spans="1:2" x14ac:dyDescent="0.3">
      <c r="A35" t="s">
        <v>182</v>
      </c>
      <c r="B35">
        <v>110067</v>
      </c>
    </row>
    <row r="36" spans="1:2" x14ac:dyDescent="0.3">
      <c r="A36" t="s">
        <v>201</v>
      </c>
      <c r="B36">
        <v>65033</v>
      </c>
    </row>
    <row r="37" spans="1:2" x14ac:dyDescent="0.3">
      <c r="A37" t="s">
        <v>187</v>
      </c>
      <c r="B37">
        <v>39000</v>
      </c>
    </row>
    <row r="38" spans="1:2" x14ac:dyDescent="0.3">
      <c r="A38" t="s">
        <v>189</v>
      </c>
      <c r="B38">
        <v>6552</v>
      </c>
    </row>
    <row r="39" spans="1:2" x14ac:dyDescent="0.3">
      <c r="A39" t="s">
        <v>202</v>
      </c>
      <c r="B39">
        <v>46344</v>
      </c>
    </row>
  </sheetData>
  <mergeCells count="4">
    <mergeCell ref="A3:L3"/>
    <mergeCell ref="A24:L24"/>
    <mergeCell ref="A21:C21"/>
    <mergeCell ref="A1:L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showGridLines="0" workbookViewId="0">
      <selection activeCell="G6" sqref="G6"/>
    </sheetView>
  </sheetViews>
  <sheetFormatPr baseColWidth="10" defaultColWidth="8.88671875" defaultRowHeight="14.4" x14ac:dyDescent="0.3"/>
  <cols>
    <col min="1" max="1" width="24" customWidth="1"/>
    <col min="2" max="2" width="14" customWidth="1"/>
    <col min="3" max="3" width="26" customWidth="1"/>
    <col min="4" max="6" width="14" customWidth="1"/>
    <col min="7" max="8" width="30" customWidth="1"/>
    <col min="9" max="9" width="20" customWidth="1"/>
    <col min="10" max="10" width="12" customWidth="1"/>
  </cols>
  <sheetData>
    <row r="1" spans="1:11" x14ac:dyDescent="0.3">
      <c r="A1" s="87" t="s">
        <v>203</v>
      </c>
      <c r="B1" s="79"/>
      <c r="C1" s="79"/>
      <c r="D1" s="79"/>
      <c r="E1" s="79"/>
      <c r="F1" s="79"/>
      <c r="G1" s="79"/>
      <c r="H1" s="79"/>
      <c r="I1" s="79"/>
      <c r="J1" s="79"/>
      <c r="K1" s="80"/>
    </row>
    <row r="2" spans="1:11" x14ac:dyDescent="0.3">
      <c r="A2" s="81"/>
      <c r="B2" s="82"/>
      <c r="C2" s="82"/>
      <c r="D2" s="82"/>
      <c r="E2" s="82"/>
      <c r="F2" s="82"/>
      <c r="G2" s="82"/>
      <c r="H2" s="82"/>
      <c r="I2" s="82"/>
      <c r="J2" s="82"/>
      <c r="K2" s="83"/>
    </row>
    <row r="3" spans="1:11" x14ac:dyDescent="0.3">
      <c r="A3" s="88" t="s">
        <v>204</v>
      </c>
      <c r="B3" s="74"/>
      <c r="C3" s="74"/>
      <c r="D3" s="74"/>
      <c r="E3" s="74"/>
      <c r="F3" s="74"/>
      <c r="G3" s="74"/>
      <c r="H3" s="74"/>
      <c r="I3" s="74"/>
      <c r="J3" s="74"/>
      <c r="K3" s="75"/>
    </row>
    <row r="5" spans="1:11" ht="34.950000000000003" customHeight="1" x14ac:dyDescent="0.3">
      <c r="A5" s="2" t="s">
        <v>8</v>
      </c>
      <c r="B5" s="2" t="s">
        <v>205</v>
      </c>
      <c r="C5" s="2" t="s">
        <v>206</v>
      </c>
      <c r="D5" s="2" t="s">
        <v>10</v>
      </c>
      <c r="E5" s="2" t="s">
        <v>207</v>
      </c>
      <c r="F5" s="2" t="s">
        <v>208</v>
      </c>
      <c r="G5" s="2" t="s">
        <v>209</v>
      </c>
      <c r="H5" s="2" t="s">
        <v>210</v>
      </c>
      <c r="I5" s="2" t="s">
        <v>211</v>
      </c>
      <c r="J5" s="2" t="s">
        <v>212</v>
      </c>
    </row>
    <row r="6" spans="1:11" ht="30" customHeight="1" x14ac:dyDescent="0.3">
      <c r="A6" s="3" t="s">
        <v>213</v>
      </c>
      <c r="B6" s="26" t="s">
        <v>214</v>
      </c>
      <c r="C6" s="4" t="s">
        <v>215</v>
      </c>
      <c r="D6" s="5" t="s">
        <v>25</v>
      </c>
      <c r="E6" s="26" t="s">
        <v>216</v>
      </c>
      <c r="F6" s="38" t="s">
        <v>216</v>
      </c>
      <c r="G6" s="4" t="s">
        <v>217</v>
      </c>
      <c r="H6" s="39" t="s">
        <v>218</v>
      </c>
      <c r="I6" s="40"/>
      <c r="J6" s="12" t="s">
        <v>167</v>
      </c>
    </row>
    <row r="7" spans="1:11" ht="30" customHeight="1" x14ac:dyDescent="0.3">
      <c r="A7" s="9" t="s">
        <v>219</v>
      </c>
      <c r="B7" s="24" t="s">
        <v>220</v>
      </c>
      <c r="C7" s="10" t="s">
        <v>221</v>
      </c>
      <c r="D7" s="5" t="s">
        <v>25</v>
      </c>
      <c r="E7" s="24" t="s">
        <v>216</v>
      </c>
      <c r="F7" s="38" t="s">
        <v>222</v>
      </c>
      <c r="G7" s="10" t="s">
        <v>223</v>
      </c>
      <c r="H7" s="39" t="s">
        <v>224</v>
      </c>
      <c r="I7" s="40" t="s">
        <v>225</v>
      </c>
      <c r="J7" s="12" t="s">
        <v>167</v>
      </c>
    </row>
    <row r="8" spans="1:11" ht="30" customHeight="1" x14ac:dyDescent="0.3">
      <c r="A8" s="3" t="s">
        <v>226</v>
      </c>
      <c r="B8" s="26" t="s">
        <v>227</v>
      </c>
      <c r="C8" s="4" t="s">
        <v>228</v>
      </c>
      <c r="D8" s="5" t="s">
        <v>25</v>
      </c>
      <c r="E8" s="26" t="s">
        <v>216</v>
      </c>
      <c r="F8" s="38" t="s">
        <v>216</v>
      </c>
      <c r="G8" s="4" t="s">
        <v>229</v>
      </c>
      <c r="H8" s="39" t="s">
        <v>230</v>
      </c>
      <c r="I8" s="40" t="s">
        <v>231</v>
      </c>
      <c r="J8" s="36" t="s">
        <v>159</v>
      </c>
    </row>
    <row r="9" spans="1:11" ht="30" customHeight="1" x14ac:dyDescent="0.3">
      <c r="A9" s="9" t="s">
        <v>232</v>
      </c>
      <c r="B9" s="24" t="s">
        <v>233</v>
      </c>
      <c r="C9" s="10" t="s">
        <v>163</v>
      </c>
      <c r="D9" s="5" t="s">
        <v>25</v>
      </c>
      <c r="E9" s="24" t="s">
        <v>222</v>
      </c>
      <c r="F9" s="38" t="s">
        <v>222</v>
      </c>
      <c r="G9" s="10" t="s">
        <v>234</v>
      </c>
      <c r="H9" s="39" t="s">
        <v>235</v>
      </c>
      <c r="I9" s="40" t="s">
        <v>236</v>
      </c>
      <c r="J9" s="12" t="s">
        <v>167</v>
      </c>
    </row>
    <row r="10" spans="1:11" ht="30" customHeight="1" x14ac:dyDescent="0.3">
      <c r="A10" s="3" t="s">
        <v>35</v>
      </c>
      <c r="B10" s="26" t="s">
        <v>237</v>
      </c>
      <c r="C10" s="4" t="s">
        <v>238</v>
      </c>
      <c r="D10" s="12" t="s">
        <v>37</v>
      </c>
      <c r="E10" s="26" t="s">
        <v>239</v>
      </c>
      <c r="F10" s="38" t="s">
        <v>239</v>
      </c>
      <c r="G10" s="4" t="s">
        <v>240</v>
      </c>
      <c r="H10" s="39" t="s">
        <v>241</v>
      </c>
      <c r="I10" s="40" t="s">
        <v>242</v>
      </c>
      <c r="J10" s="12" t="s">
        <v>167</v>
      </c>
    </row>
    <row r="11" spans="1:11" ht="30" customHeight="1" x14ac:dyDescent="0.3">
      <c r="A11" s="9" t="s">
        <v>243</v>
      </c>
      <c r="B11" s="24" t="s">
        <v>244</v>
      </c>
      <c r="C11" s="10" t="s">
        <v>166</v>
      </c>
      <c r="D11" s="5" t="s">
        <v>25</v>
      </c>
      <c r="E11" s="24" t="s">
        <v>245</v>
      </c>
      <c r="F11" s="38" t="s">
        <v>222</v>
      </c>
      <c r="G11" s="10" t="s">
        <v>246</v>
      </c>
      <c r="H11" s="39" t="s">
        <v>247</v>
      </c>
      <c r="I11" s="40" t="s">
        <v>248</v>
      </c>
      <c r="J11" s="12" t="s">
        <v>167</v>
      </c>
    </row>
    <row r="12" spans="1:11" ht="30" customHeight="1" x14ac:dyDescent="0.3">
      <c r="A12" s="3" t="s">
        <v>249</v>
      </c>
      <c r="B12" s="26" t="s">
        <v>250</v>
      </c>
      <c r="C12" s="4" t="s">
        <v>57</v>
      </c>
      <c r="D12" s="5" t="s">
        <v>25</v>
      </c>
      <c r="E12" s="26" t="s">
        <v>239</v>
      </c>
      <c r="F12" s="38" t="s">
        <v>239</v>
      </c>
      <c r="G12" s="4" t="s">
        <v>251</v>
      </c>
      <c r="H12" s="39" t="s">
        <v>252</v>
      </c>
      <c r="I12" s="40" t="s">
        <v>253</v>
      </c>
      <c r="J12" s="36" t="s">
        <v>159</v>
      </c>
    </row>
    <row r="13" spans="1:11" ht="30" customHeight="1" x14ac:dyDescent="0.3">
      <c r="A13" s="9" t="s">
        <v>83</v>
      </c>
      <c r="B13" s="24" t="s">
        <v>254</v>
      </c>
      <c r="C13" s="10" t="s">
        <v>84</v>
      </c>
      <c r="D13" s="5" t="s">
        <v>25</v>
      </c>
      <c r="E13" s="24" t="s">
        <v>222</v>
      </c>
      <c r="F13" s="38" t="s">
        <v>222</v>
      </c>
      <c r="G13" s="10" t="s">
        <v>255</v>
      </c>
      <c r="H13" s="39" t="s">
        <v>256</v>
      </c>
      <c r="I13" s="40" t="s">
        <v>257</v>
      </c>
      <c r="J13" s="32" t="s">
        <v>158</v>
      </c>
    </row>
    <row r="14" spans="1:11" ht="30" customHeight="1" x14ac:dyDescent="0.3">
      <c r="A14" s="3" t="s">
        <v>258</v>
      </c>
      <c r="B14" s="26" t="s">
        <v>259</v>
      </c>
      <c r="C14" s="4" t="s">
        <v>186</v>
      </c>
      <c r="D14" s="5" t="s">
        <v>25</v>
      </c>
      <c r="E14" s="26" t="s">
        <v>239</v>
      </c>
      <c r="F14" s="38" t="s">
        <v>239</v>
      </c>
      <c r="G14" s="4" t="s">
        <v>260</v>
      </c>
      <c r="H14" s="39" t="s">
        <v>261</v>
      </c>
      <c r="I14" s="40" t="s">
        <v>262</v>
      </c>
      <c r="J14" s="12" t="s">
        <v>167</v>
      </c>
    </row>
    <row r="15" spans="1:11" ht="30" customHeight="1" x14ac:dyDescent="0.3">
      <c r="A15" s="9" t="s">
        <v>263</v>
      </c>
      <c r="B15" s="24" t="s">
        <v>264</v>
      </c>
      <c r="C15" s="10" t="s">
        <v>265</v>
      </c>
      <c r="D15" s="5" t="s">
        <v>25</v>
      </c>
      <c r="E15" s="24" t="s">
        <v>239</v>
      </c>
      <c r="F15" s="38" t="s">
        <v>239</v>
      </c>
      <c r="G15" s="10" t="s">
        <v>266</v>
      </c>
      <c r="H15" s="39" t="s">
        <v>267</v>
      </c>
      <c r="I15" s="40" t="s">
        <v>268</v>
      </c>
      <c r="J15" s="36" t="s">
        <v>159</v>
      </c>
    </row>
    <row r="16" spans="1:11" ht="30" customHeight="1" x14ac:dyDescent="0.3">
      <c r="A16" s="3" t="s">
        <v>80</v>
      </c>
      <c r="B16" s="26" t="s">
        <v>269</v>
      </c>
      <c r="C16" s="4" t="s">
        <v>270</v>
      </c>
      <c r="D16" s="5" t="s">
        <v>25</v>
      </c>
      <c r="E16" s="26" t="s">
        <v>239</v>
      </c>
      <c r="F16" s="38" t="s">
        <v>239</v>
      </c>
      <c r="G16" s="4" t="s">
        <v>271</v>
      </c>
      <c r="H16" s="39" t="s">
        <v>272</v>
      </c>
      <c r="I16" s="40" t="s">
        <v>273</v>
      </c>
      <c r="J16" s="36" t="s">
        <v>159</v>
      </c>
    </row>
    <row r="17" spans="1:10" ht="30" customHeight="1" x14ac:dyDescent="0.3">
      <c r="A17" s="9" t="s">
        <v>274</v>
      </c>
      <c r="B17" s="24" t="s">
        <v>275</v>
      </c>
      <c r="C17" s="10" t="s">
        <v>276</v>
      </c>
      <c r="D17" s="5" t="s">
        <v>25</v>
      </c>
      <c r="E17" s="24" t="s">
        <v>239</v>
      </c>
      <c r="F17" s="38" t="s">
        <v>216</v>
      </c>
      <c r="G17" s="10" t="s">
        <v>277</v>
      </c>
      <c r="H17" s="39" t="s">
        <v>278</v>
      </c>
      <c r="I17" s="40" t="s">
        <v>279</v>
      </c>
      <c r="J17" s="12" t="s">
        <v>167</v>
      </c>
    </row>
    <row r="18" spans="1:10" ht="30" customHeight="1" x14ac:dyDescent="0.3">
      <c r="A18" s="3" t="s">
        <v>74</v>
      </c>
      <c r="B18" s="26" t="s">
        <v>280</v>
      </c>
      <c r="C18" s="4" t="s">
        <v>75</v>
      </c>
      <c r="D18" s="5" t="s">
        <v>25</v>
      </c>
      <c r="E18" s="26" t="s">
        <v>239</v>
      </c>
      <c r="F18" s="38" t="s">
        <v>239</v>
      </c>
      <c r="G18" s="4" t="s">
        <v>281</v>
      </c>
      <c r="H18" s="39" t="s">
        <v>282</v>
      </c>
      <c r="I18" s="40" t="s">
        <v>283</v>
      </c>
      <c r="J18" s="32" t="s">
        <v>158</v>
      </c>
    </row>
    <row r="19" spans="1:10" ht="30" customHeight="1" x14ac:dyDescent="0.3">
      <c r="A19" s="9" t="s">
        <v>284</v>
      </c>
      <c r="B19" s="24" t="s">
        <v>285</v>
      </c>
      <c r="C19" s="10" t="s">
        <v>286</v>
      </c>
      <c r="D19" s="5" t="s">
        <v>25</v>
      </c>
      <c r="E19" s="24" t="s">
        <v>239</v>
      </c>
      <c r="F19" s="38" t="s">
        <v>239</v>
      </c>
      <c r="G19" s="10" t="s">
        <v>287</v>
      </c>
      <c r="H19" s="39" t="s">
        <v>288</v>
      </c>
      <c r="I19" s="40" t="s">
        <v>289</v>
      </c>
      <c r="J19" s="32" t="s">
        <v>158</v>
      </c>
    </row>
    <row r="20" spans="1:10" ht="30" customHeight="1" x14ac:dyDescent="0.3">
      <c r="A20" s="3" t="s">
        <v>290</v>
      </c>
      <c r="B20" s="26" t="s">
        <v>291</v>
      </c>
      <c r="C20" s="4" t="s">
        <v>292</v>
      </c>
      <c r="D20" s="5" t="s">
        <v>25</v>
      </c>
      <c r="E20" s="26" t="s">
        <v>239</v>
      </c>
      <c r="F20" s="38" t="s">
        <v>239</v>
      </c>
      <c r="G20" s="4" t="s">
        <v>293</v>
      </c>
      <c r="H20" s="39" t="s">
        <v>294</v>
      </c>
      <c r="I20" s="40" t="s">
        <v>295</v>
      </c>
      <c r="J20" s="12" t="s">
        <v>167</v>
      </c>
    </row>
  </sheetData>
  <mergeCells count="2">
    <mergeCell ref="A1:K2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6"/>
  <sheetViews>
    <sheetView showGridLines="0" workbookViewId="0">
      <selection sqref="A1:J2"/>
    </sheetView>
  </sheetViews>
  <sheetFormatPr baseColWidth="10" defaultColWidth="8.88671875" defaultRowHeight="14.4" x14ac:dyDescent="0.3"/>
  <cols>
    <col min="1" max="1" width="35" customWidth="1"/>
    <col min="2" max="2" width="50" customWidth="1"/>
    <col min="3" max="3" width="16" customWidth="1"/>
    <col min="4" max="4" width="14" customWidth="1"/>
  </cols>
  <sheetData>
    <row r="1" spans="1:10" x14ac:dyDescent="0.3">
      <c r="A1" s="87" t="s">
        <v>296</v>
      </c>
      <c r="B1" s="79"/>
      <c r="C1" s="79"/>
      <c r="D1" s="79"/>
      <c r="E1" s="79"/>
      <c r="F1" s="79"/>
      <c r="G1" s="79"/>
      <c r="H1" s="79"/>
      <c r="I1" s="79"/>
      <c r="J1" s="80"/>
    </row>
    <row r="2" spans="1:10" x14ac:dyDescent="0.3">
      <c r="A2" s="81"/>
      <c r="B2" s="82"/>
      <c r="C2" s="82"/>
      <c r="D2" s="82"/>
      <c r="E2" s="82"/>
      <c r="F2" s="82"/>
      <c r="G2" s="82"/>
      <c r="H2" s="82"/>
      <c r="I2" s="82"/>
      <c r="J2" s="83"/>
    </row>
    <row r="3" spans="1:10" x14ac:dyDescent="0.3">
      <c r="A3" s="88" t="s">
        <v>297</v>
      </c>
      <c r="B3" s="74"/>
      <c r="C3" s="74"/>
      <c r="D3" s="74"/>
      <c r="E3" s="74"/>
      <c r="F3" s="74"/>
      <c r="G3" s="74"/>
      <c r="H3" s="74"/>
      <c r="I3" s="74"/>
      <c r="J3" s="75"/>
    </row>
    <row r="5" spans="1:10" x14ac:dyDescent="0.3">
      <c r="A5" s="91" t="s">
        <v>298</v>
      </c>
      <c r="B5" s="74"/>
      <c r="C5" s="74"/>
      <c r="D5" s="74"/>
      <c r="E5" s="74"/>
      <c r="F5" s="74"/>
      <c r="G5" s="74"/>
      <c r="H5" s="74"/>
      <c r="I5" s="74"/>
      <c r="J5" s="75"/>
    </row>
    <row r="6" spans="1:10" ht="22.05" customHeight="1" x14ac:dyDescent="0.3">
      <c r="A6" s="14" t="s">
        <v>299</v>
      </c>
      <c r="B6" s="14" t="s">
        <v>300</v>
      </c>
      <c r="C6" s="14" t="s">
        <v>301</v>
      </c>
      <c r="D6" s="14" t="s">
        <v>302</v>
      </c>
    </row>
    <row r="7" spans="1:10" ht="19.95" customHeight="1" x14ac:dyDescent="0.3">
      <c r="A7" s="3" t="s">
        <v>303</v>
      </c>
      <c r="B7" s="4" t="s">
        <v>304</v>
      </c>
      <c r="C7" s="6">
        <v>80000</v>
      </c>
      <c r="D7" s="41">
        <v>0.42160737812911719</v>
      </c>
    </row>
    <row r="8" spans="1:10" ht="19.95" customHeight="1" x14ac:dyDescent="0.3">
      <c r="A8" s="9" t="s">
        <v>305</v>
      </c>
      <c r="B8" s="10" t="s">
        <v>306</v>
      </c>
      <c r="C8" s="11">
        <v>25000</v>
      </c>
      <c r="D8" s="42">
        <v>0.13175230566534921</v>
      </c>
    </row>
    <row r="9" spans="1:10" ht="19.95" customHeight="1" x14ac:dyDescent="0.3">
      <c r="A9" s="3" t="s">
        <v>307</v>
      </c>
      <c r="B9" s="4" t="s">
        <v>308</v>
      </c>
      <c r="C9" s="6">
        <v>15000</v>
      </c>
      <c r="D9" s="41">
        <v>7.9051383399209488E-2</v>
      </c>
    </row>
    <row r="10" spans="1:10" ht="19.95" customHeight="1" x14ac:dyDescent="0.3">
      <c r="A10" s="9" t="s">
        <v>309</v>
      </c>
      <c r="B10" s="10" t="s">
        <v>310</v>
      </c>
      <c r="C10" s="11">
        <v>45000</v>
      </c>
      <c r="D10" s="42">
        <v>0.23715415019762839</v>
      </c>
    </row>
    <row r="11" spans="1:10" ht="19.95" customHeight="1" x14ac:dyDescent="0.3">
      <c r="A11" s="3" t="s">
        <v>311</v>
      </c>
      <c r="B11" s="4" t="s">
        <v>312</v>
      </c>
      <c r="C11" s="6">
        <v>24750</v>
      </c>
      <c r="D11" s="41">
        <v>0.13043478260869559</v>
      </c>
    </row>
    <row r="12" spans="1:10" ht="22.05" customHeight="1" x14ac:dyDescent="0.3">
      <c r="A12" s="90" t="s">
        <v>313</v>
      </c>
      <c r="B12" s="75"/>
      <c r="C12" s="15">
        <v>189750</v>
      </c>
      <c r="D12" s="43">
        <v>1</v>
      </c>
    </row>
    <row r="15" spans="1:10" x14ac:dyDescent="0.3">
      <c r="A15" s="91" t="s">
        <v>314</v>
      </c>
      <c r="B15" s="74"/>
      <c r="C15" s="74"/>
      <c r="D15" s="74"/>
      <c r="E15" s="74"/>
      <c r="F15" s="74"/>
      <c r="G15" s="74"/>
      <c r="H15" s="74"/>
      <c r="I15" s="74"/>
      <c r="J15" s="75"/>
    </row>
    <row r="16" spans="1:10" ht="22.05" customHeight="1" x14ac:dyDescent="0.3">
      <c r="A16" s="14" t="s">
        <v>315</v>
      </c>
      <c r="B16" s="14" t="s">
        <v>316</v>
      </c>
    </row>
    <row r="17" spans="1:10" ht="19.95" customHeight="1" x14ac:dyDescent="0.3">
      <c r="A17" s="3" t="s">
        <v>317</v>
      </c>
      <c r="B17" s="21">
        <v>161843</v>
      </c>
    </row>
    <row r="18" spans="1:10" ht="19.95" customHeight="1" x14ac:dyDescent="0.3">
      <c r="A18" s="9" t="s">
        <v>318</v>
      </c>
      <c r="B18" s="7">
        <v>64757</v>
      </c>
    </row>
    <row r="19" spans="1:10" ht="19.95" customHeight="1" x14ac:dyDescent="0.3">
      <c r="A19" s="3" t="s">
        <v>319</v>
      </c>
      <c r="B19" s="7">
        <v>97086</v>
      </c>
    </row>
    <row r="20" spans="1:10" ht="19.95" customHeight="1" x14ac:dyDescent="0.3">
      <c r="A20" s="9" t="s">
        <v>320</v>
      </c>
      <c r="B20" s="7">
        <v>1165032</v>
      </c>
    </row>
    <row r="21" spans="1:10" ht="19.95" customHeight="1" x14ac:dyDescent="0.3">
      <c r="A21" s="3" t="s">
        <v>321</v>
      </c>
      <c r="B21" s="44">
        <v>189750</v>
      </c>
    </row>
    <row r="22" spans="1:10" ht="19.95" customHeight="1" x14ac:dyDescent="0.3">
      <c r="A22" s="9" t="s">
        <v>322</v>
      </c>
      <c r="B22" s="38" t="s">
        <v>323</v>
      </c>
    </row>
    <row r="23" spans="1:10" ht="19.95" customHeight="1" x14ac:dyDescent="0.3">
      <c r="A23" s="3" t="s">
        <v>324</v>
      </c>
      <c r="B23" s="7">
        <v>975282</v>
      </c>
    </row>
    <row r="24" spans="1:10" ht="19.95" customHeight="1" x14ac:dyDescent="0.3">
      <c r="A24" s="9" t="s">
        <v>325</v>
      </c>
      <c r="B24" s="7">
        <v>2140314</v>
      </c>
    </row>
    <row r="25" spans="1:10" ht="19.95" customHeight="1" x14ac:dyDescent="0.3">
      <c r="A25" s="3" t="s">
        <v>326</v>
      </c>
      <c r="B25" s="7">
        <v>3305346</v>
      </c>
    </row>
    <row r="26" spans="1:10" ht="19.95" customHeight="1" x14ac:dyDescent="0.3">
      <c r="A26" s="9" t="s">
        <v>327</v>
      </c>
      <c r="B26" s="7">
        <v>17.41947826086956</v>
      </c>
    </row>
    <row r="29" spans="1:10" x14ac:dyDescent="0.3">
      <c r="A29" s="89" t="s">
        <v>328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x14ac:dyDescent="0.3">
      <c r="A30">
        <v>0</v>
      </c>
      <c r="B30">
        <v>0</v>
      </c>
      <c r="C30">
        <v>189750</v>
      </c>
      <c r="D30">
        <v>-189750</v>
      </c>
    </row>
    <row r="31" spans="1:10" x14ac:dyDescent="0.3">
      <c r="A31">
        <v>1</v>
      </c>
      <c r="B31">
        <v>161843</v>
      </c>
      <c r="C31">
        <v>254507</v>
      </c>
      <c r="D31">
        <v>-92664</v>
      </c>
    </row>
    <row r="32" spans="1:10" x14ac:dyDescent="0.3">
      <c r="A32">
        <v>2</v>
      </c>
      <c r="B32">
        <v>323686</v>
      </c>
      <c r="C32">
        <v>319264</v>
      </c>
      <c r="D32">
        <v>4422</v>
      </c>
    </row>
    <row r="33" spans="1:4" x14ac:dyDescent="0.3">
      <c r="A33">
        <v>3</v>
      </c>
      <c r="B33">
        <v>485529</v>
      </c>
      <c r="C33">
        <v>384021</v>
      </c>
      <c r="D33">
        <v>101508</v>
      </c>
    </row>
    <row r="34" spans="1:4" x14ac:dyDescent="0.3">
      <c r="A34">
        <v>4</v>
      </c>
      <c r="B34">
        <v>647372</v>
      </c>
      <c r="C34">
        <v>448778</v>
      </c>
      <c r="D34">
        <v>198594</v>
      </c>
    </row>
    <row r="35" spans="1:4" x14ac:dyDescent="0.3">
      <c r="A35">
        <v>5</v>
      </c>
      <c r="B35">
        <v>809215</v>
      </c>
      <c r="C35">
        <v>513535</v>
      </c>
      <c r="D35">
        <v>295680</v>
      </c>
    </row>
    <row r="36" spans="1:4" x14ac:dyDescent="0.3">
      <c r="A36">
        <v>6</v>
      </c>
      <c r="B36">
        <v>971058</v>
      </c>
      <c r="C36">
        <v>578292</v>
      </c>
      <c r="D36">
        <v>392766</v>
      </c>
    </row>
    <row r="37" spans="1:4" x14ac:dyDescent="0.3">
      <c r="A37">
        <v>7</v>
      </c>
      <c r="B37">
        <v>1132901</v>
      </c>
      <c r="C37">
        <v>643049</v>
      </c>
      <c r="D37">
        <v>489852</v>
      </c>
    </row>
    <row r="38" spans="1:4" x14ac:dyDescent="0.3">
      <c r="A38">
        <v>8</v>
      </c>
      <c r="B38">
        <v>1294744</v>
      </c>
      <c r="C38">
        <v>707806</v>
      </c>
      <c r="D38">
        <v>586938</v>
      </c>
    </row>
    <row r="39" spans="1:4" x14ac:dyDescent="0.3">
      <c r="A39">
        <v>9</v>
      </c>
      <c r="B39">
        <v>1456587</v>
      </c>
      <c r="C39">
        <v>772563</v>
      </c>
      <c r="D39">
        <v>684024</v>
      </c>
    </row>
    <row r="40" spans="1:4" x14ac:dyDescent="0.3">
      <c r="A40">
        <v>10</v>
      </c>
      <c r="B40">
        <v>1618430</v>
      </c>
      <c r="C40">
        <v>837320</v>
      </c>
      <c r="D40">
        <v>781110</v>
      </c>
    </row>
    <row r="41" spans="1:4" x14ac:dyDescent="0.3">
      <c r="A41">
        <v>11</v>
      </c>
      <c r="B41">
        <v>1780273</v>
      </c>
      <c r="C41">
        <v>902077</v>
      </c>
      <c r="D41">
        <v>878196</v>
      </c>
    </row>
    <row r="42" spans="1:4" x14ac:dyDescent="0.3">
      <c r="A42">
        <v>12</v>
      </c>
      <c r="B42">
        <v>1942116</v>
      </c>
      <c r="C42">
        <v>966834</v>
      </c>
      <c r="D42">
        <v>975282</v>
      </c>
    </row>
    <row r="43" spans="1:4" x14ac:dyDescent="0.3">
      <c r="A43">
        <v>13</v>
      </c>
      <c r="B43">
        <v>2103959</v>
      </c>
      <c r="C43">
        <v>1031591</v>
      </c>
      <c r="D43">
        <v>1072368</v>
      </c>
    </row>
    <row r="44" spans="1:4" x14ac:dyDescent="0.3">
      <c r="A44">
        <v>14</v>
      </c>
      <c r="B44">
        <v>2265802</v>
      </c>
      <c r="C44">
        <v>1096348</v>
      </c>
      <c r="D44">
        <v>1169454</v>
      </c>
    </row>
    <row r="45" spans="1:4" x14ac:dyDescent="0.3">
      <c r="A45">
        <v>15</v>
      </c>
      <c r="B45">
        <v>2427645</v>
      </c>
      <c r="C45">
        <v>1161105</v>
      </c>
      <c r="D45">
        <v>1266540</v>
      </c>
    </row>
    <row r="46" spans="1:4" x14ac:dyDescent="0.3">
      <c r="A46">
        <v>16</v>
      </c>
      <c r="B46">
        <v>2589488</v>
      </c>
      <c r="C46">
        <v>1225862</v>
      </c>
      <c r="D46">
        <v>1363626</v>
      </c>
    </row>
    <row r="47" spans="1:4" x14ac:dyDescent="0.3">
      <c r="A47">
        <v>17</v>
      </c>
      <c r="B47">
        <v>2751331</v>
      </c>
      <c r="C47">
        <v>1290619</v>
      </c>
      <c r="D47">
        <v>1460712</v>
      </c>
    </row>
    <row r="48" spans="1:4" x14ac:dyDescent="0.3">
      <c r="A48">
        <v>18</v>
      </c>
      <c r="B48">
        <v>2913174</v>
      </c>
      <c r="C48">
        <v>1355376</v>
      </c>
      <c r="D48">
        <v>1557798</v>
      </c>
    </row>
    <row r="49" spans="1:4" x14ac:dyDescent="0.3">
      <c r="A49">
        <v>19</v>
      </c>
      <c r="B49">
        <v>3075017</v>
      </c>
      <c r="C49">
        <v>1420133</v>
      </c>
      <c r="D49">
        <v>1654884</v>
      </c>
    </row>
    <row r="50" spans="1:4" x14ac:dyDescent="0.3">
      <c r="A50">
        <v>20</v>
      </c>
      <c r="B50">
        <v>3236860</v>
      </c>
      <c r="C50">
        <v>1484890</v>
      </c>
      <c r="D50">
        <v>1751970</v>
      </c>
    </row>
    <row r="51" spans="1:4" x14ac:dyDescent="0.3">
      <c r="A51">
        <v>21</v>
      </c>
      <c r="B51">
        <v>3398703</v>
      </c>
      <c r="C51">
        <v>1549647</v>
      </c>
      <c r="D51">
        <v>1849056</v>
      </c>
    </row>
    <row r="52" spans="1:4" x14ac:dyDescent="0.3">
      <c r="A52">
        <v>22</v>
      </c>
      <c r="B52">
        <v>3560546</v>
      </c>
      <c r="C52">
        <v>1614404</v>
      </c>
      <c r="D52">
        <v>1946142</v>
      </c>
    </row>
    <row r="53" spans="1:4" x14ac:dyDescent="0.3">
      <c r="A53">
        <v>23</v>
      </c>
      <c r="B53">
        <v>3722389</v>
      </c>
      <c r="C53">
        <v>1679161</v>
      </c>
      <c r="D53">
        <v>2043228</v>
      </c>
    </row>
    <row r="54" spans="1:4" x14ac:dyDescent="0.3">
      <c r="A54">
        <v>24</v>
      </c>
      <c r="B54">
        <v>3884232</v>
      </c>
      <c r="C54">
        <v>1743918</v>
      </c>
      <c r="D54">
        <v>2140314</v>
      </c>
    </row>
    <row r="55" spans="1:4" x14ac:dyDescent="0.3">
      <c r="A55">
        <v>25</v>
      </c>
      <c r="B55">
        <v>4046075</v>
      </c>
      <c r="C55">
        <v>1808675</v>
      </c>
      <c r="D55">
        <v>2237400</v>
      </c>
    </row>
    <row r="56" spans="1:4" x14ac:dyDescent="0.3">
      <c r="A56">
        <v>26</v>
      </c>
      <c r="B56">
        <v>4207918</v>
      </c>
      <c r="C56">
        <v>1873432</v>
      </c>
      <c r="D56">
        <v>2334486</v>
      </c>
    </row>
    <row r="57" spans="1:4" x14ac:dyDescent="0.3">
      <c r="A57">
        <v>27</v>
      </c>
      <c r="B57">
        <v>4369761</v>
      </c>
      <c r="C57">
        <v>1938189</v>
      </c>
      <c r="D57">
        <v>2431572</v>
      </c>
    </row>
    <row r="58" spans="1:4" x14ac:dyDescent="0.3">
      <c r="A58">
        <v>28</v>
      </c>
      <c r="B58">
        <v>4531604</v>
      </c>
      <c r="C58">
        <v>2002946</v>
      </c>
      <c r="D58">
        <v>2528658</v>
      </c>
    </row>
    <row r="59" spans="1:4" x14ac:dyDescent="0.3">
      <c r="A59">
        <v>29</v>
      </c>
      <c r="B59">
        <v>4693447</v>
      </c>
      <c r="C59">
        <v>2067703</v>
      </c>
      <c r="D59">
        <v>2625744</v>
      </c>
    </row>
    <row r="60" spans="1:4" x14ac:dyDescent="0.3">
      <c r="A60">
        <v>30</v>
      </c>
      <c r="B60">
        <v>4855290</v>
      </c>
      <c r="C60">
        <v>2132460</v>
      </c>
      <c r="D60">
        <v>2722830</v>
      </c>
    </row>
    <row r="61" spans="1:4" x14ac:dyDescent="0.3">
      <c r="A61">
        <v>31</v>
      </c>
      <c r="B61">
        <v>5017133</v>
      </c>
      <c r="C61">
        <v>2197217</v>
      </c>
      <c r="D61">
        <v>2819916</v>
      </c>
    </row>
    <row r="62" spans="1:4" x14ac:dyDescent="0.3">
      <c r="A62">
        <v>32</v>
      </c>
      <c r="B62">
        <v>5178976</v>
      </c>
      <c r="C62">
        <v>2261974</v>
      </c>
      <c r="D62">
        <v>2917002</v>
      </c>
    </row>
    <row r="63" spans="1:4" x14ac:dyDescent="0.3">
      <c r="A63">
        <v>33</v>
      </c>
      <c r="B63">
        <v>5340819</v>
      </c>
      <c r="C63">
        <v>2326731</v>
      </c>
      <c r="D63">
        <v>3014088</v>
      </c>
    </row>
    <row r="64" spans="1:4" x14ac:dyDescent="0.3">
      <c r="A64">
        <v>34</v>
      </c>
      <c r="B64">
        <v>5502662</v>
      </c>
      <c r="C64">
        <v>2391488</v>
      </c>
      <c r="D64">
        <v>3111174</v>
      </c>
    </row>
    <row r="65" spans="1:4" x14ac:dyDescent="0.3">
      <c r="A65">
        <v>35</v>
      </c>
      <c r="B65">
        <v>5664505</v>
      </c>
      <c r="C65">
        <v>2456245</v>
      </c>
      <c r="D65">
        <v>3208260</v>
      </c>
    </row>
    <row r="66" spans="1:4" x14ac:dyDescent="0.3">
      <c r="A66">
        <v>36</v>
      </c>
      <c r="B66">
        <v>5826348</v>
      </c>
      <c r="C66">
        <v>2521002</v>
      </c>
      <c r="D66">
        <v>3305346</v>
      </c>
    </row>
  </sheetData>
  <mergeCells count="6">
    <mergeCell ref="A5:J5"/>
    <mergeCell ref="A1:J2"/>
    <mergeCell ref="A3:J3"/>
    <mergeCell ref="A15:J15"/>
    <mergeCell ref="A29:J29"/>
    <mergeCell ref="A12:B1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"/>
  <sheetViews>
    <sheetView showGridLines="0" workbookViewId="0">
      <selection sqref="A1:L2"/>
    </sheetView>
  </sheetViews>
  <sheetFormatPr baseColWidth="10" defaultColWidth="8.88671875" defaultRowHeight="14.4" x14ac:dyDescent="0.3"/>
  <cols>
    <col min="1" max="1" width="30" customWidth="1"/>
    <col min="2" max="2" width="16" customWidth="1"/>
    <col min="3" max="3" width="12" customWidth="1"/>
    <col min="4" max="5" width="14" customWidth="1"/>
    <col min="6" max="6" width="40" customWidth="1"/>
    <col min="7" max="7" width="20" customWidth="1"/>
    <col min="8" max="8" width="12" customWidth="1"/>
  </cols>
  <sheetData>
    <row r="1" spans="1:12" x14ac:dyDescent="0.3">
      <c r="A1" s="87" t="s">
        <v>329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12" x14ac:dyDescent="0.3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2" x14ac:dyDescent="0.3">
      <c r="A3" s="88" t="s">
        <v>330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5"/>
    </row>
    <row r="5" spans="1:12" x14ac:dyDescent="0.3">
      <c r="A5" s="91" t="s">
        <v>331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2" ht="22.05" customHeight="1" x14ac:dyDescent="0.3">
      <c r="A6" s="100" t="s">
        <v>332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5"/>
    </row>
    <row r="7" spans="1:12" ht="18" customHeight="1" x14ac:dyDescent="0.3">
      <c r="A7" s="96" t="s">
        <v>333</v>
      </c>
      <c r="B7" s="74"/>
      <c r="C7" s="74"/>
      <c r="D7" s="74"/>
      <c r="E7" s="74"/>
      <c r="F7" s="74"/>
      <c r="G7" s="74"/>
      <c r="H7" s="75"/>
      <c r="I7" s="93" t="s">
        <v>334</v>
      </c>
      <c r="J7" s="79"/>
      <c r="K7" s="79"/>
      <c r="L7" s="80"/>
    </row>
    <row r="8" spans="1:12" ht="18" customHeight="1" x14ac:dyDescent="0.3">
      <c r="A8" s="92" t="s">
        <v>335</v>
      </c>
      <c r="B8" s="74"/>
      <c r="C8" s="74"/>
      <c r="D8" s="74"/>
      <c r="E8" s="74"/>
      <c r="F8" s="74"/>
      <c r="G8" s="74"/>
      <c r="H8" s="75"/>
      <c r="I8" s="94"/>
      <c r="J8" s="72"/>
      <c r="K8" s="72"/>
      <c r="L8" s="95"/>
    </row>
    <row r="9" spans="1:12" ht="18" customHeight="1" x14ac:dyDescent="0.3">
      <c r="A9" s="96" t="s">
        <v>336</v>
      </c>
      <c r="B9" s="74"/>
      <c r="C9" s="74"/>
      <c r="D9" s="74"/>
      <c r="E9" s="74"/>
      <c r="F9" s="74"/>
      <c r="G9" s="74"/>
      <c r="H9" s="75"/>
      <c r="I9" s="94"/>
      <c r="J9" s="72"/>
      <c r="K9" s="72"/>
      <c r="L9" s="95"/>
    </row>
    <row r="10" spans="1:12" ht="18" customHeight="1" x14ac:dyDescent="0.3">
      <c r="A10" s="92" t="s">
        <v>337</v>
      </c>
      <c r="B10" s="74"/>
      <c r="C10" s="74"/>
      <c r="D10" s="74"/>
      <c r="E10" s="74"/>
      <c r="F10" s="74"/>
      <c r="G10" s="74"/>
      <c r="H10" s="75"/>
      <c r="I10" s="94"/>
      <c r="J10" s="72"/>
      <c r="K10" s="72"/>
      <c r="L10" s="95"/>
    </row>
    <row r="11" spans="1:12" ht="18" customHeight="1" x14ac:dyDescent="0.3">
      <c r="A11" s="96" t="s">
        <v>338</v>
      </c>
      <c r="B11" s="74"/>
      <c r="C11" s="74"/>
      <c r="D11" s="74"/>
      <c r="E11" s="74"/>
      <c r="F11" s="74"/>
      <c r="G11" s="74"/>
      <c r="H11" s="75"/>
      <c r="I11" s="94"/>
      <c r="J11" s="72"/>
      <c r="K11" s="72"/>
      <c r="L11" s="95"/>
    </row>
    <row r="12" spans="1:12" ht="18" customHeight="1" x14ac:dyDescent="0.3">
      <c r="A12" s="92" t="s">
        <v>339</v>
      </c>
      <c r="B12" s="74"/>
      <c r="C12" s="74"/>
      <c r="D12" s="74"/>
      <c r="E12" s="74"/>
      <c r="F12" s="74"/>
      <c r="G12" s="74"/>
      <c r="H12" s="75"/>
      <c r="I12" s="81"/>
      <c r="J12" s="82"/>
      <c r="K12" s="82"/>
      <c r="L12" s="83"/>
    </row>
    <row r="14" spans="1:12" ht="22.05" customHeight="1" x14ac:dyDescent="0.3">
      <c r="A14" s="98" t="s">
        <v>340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ht="18" customHeight="1" x14ac:dyDescent="0.3">
      <c r="A15" s="96" t="s">
        <v>341</v>
      </c>
      <c r="B15" s="74"/>
      <c r="C15" s="74"/>
      <c r="D15" s="74"/>
      <c r="E15" s="74"/>
      <c r="F15" s="74"/>
      <c r="G15" s="74"/>
      <c r="H15" s="75"/>
      <c r="I15" s="93" t="s">
        <v>342</v>
      </c>
      <c r="J15" s="79"/>
      <c r="K15" s="79"/>
      <c r="L15" s="80"/>
    </row>
    <row r="16" spans="1:12" ht="18" customHeight="1" x14ac:dyDescent="0.3">
      <c r="A16" s="92" t="s">
        <v>343</v>
      </c>
      <c r="B16" s="74"/>
      <c r="C16" s="74"/>
      <c r="D16" s="74"/>
      <c r="E16" s="74"/>
      <c r="F16" s="74"/>
      <c r="G16" s="74"/>
      <c r="H16" s="75"/>
      <c r="I16" s="94"/>
      <c r="J16" s="72"/>
      <c r="K16" s="72"/>
      <c r="L16" s="95"/>
    </row>
    <row r="17" spans="1:12" ht="18" customHeight="1" x14ac:dyDescent="0.3">
      <c r="A17" s="96" t="s">
        <v>344</v>
      </c>
      <c r="B17" s="74"/>
      <c r="C17" s="74"/>
      <c r="D17" s="74"/>
      <c r="E17" s="74"/>
      <c r="F17" s="74"/>
      <c r="G17" s="74"/>
      <c r="H17" s="75"/>
      <c r="I17" s="94"/>
      <c r="J17" s="72"/>
      <c r="K17" s="72"/>
      <c r="L17" s="95"/>
    </row>
    <row r="18" spans="1:12" ht="18" customHeight="1" x14ac:dyDescent="0.3">
      <c r="A18" s="92" t="s">
        <v>345</v>
      </c>
      <c r="B18" s="74"/>
      <c r="C18" s="74"/>
      <c r="D18" s="74"/>
      <c r="E18" s="74"/>
      <c r="F18" s="74"/>
      <c r="G18" s="74"/>
      <c r="H18" s="75"/>
      <c r="I18" s="94"/>
      <c r="J18" s="72"/>
      <c r="K18" s="72"/>
      <c r="L18" s="95"/>
    </row>
    <row r="19" spans="1:12" ht="18" customHeight="1" x14ac:dyDescent="0.3">
      <c r="A19" s="96" t="s">
        <v>346</v>
      </c>
      <c r="B19" s="74"/>
      <c r="C19" s="74"/>
      <c r="D19" s="74"/>
      <c r="E19" s="74"/>
      <c r="F19" s="74"/>
      <c r="G19" s="74"/>
      <c r="H19" s="75"/>
      <c r="I19" s="94"/>
      <c r="J19" s="72"/>
      <c r="K19" s="72"/>
      <c r="L19" s="95"/>
    </row>
    <row r="20" spans="1:12" ht="18" customHeight="1" x14ac:dyDescent="0.3">
      <c r="A20" s="92" t="s">
        <v>347</v>
      </c>
      <c r="B20" s="74"/>
      <c r="C20" s="74"/>
      <c r="D20" s="74"/>
      <c r="E20" s="74"/>
      <c r="F20" s="74"/>
      <c r="G20" s="74"/>
      <c r="H20" s="75"/>
      <c r="I20" s="81"/>
      <c r="J20" s="82"/>
      <c r="K20" s="82"/>
      <c r="L20" s="83"/>
    </row>
    <row r="22" spans="1:12" ht="22.05" customHeight="1" x14ac:dyDescent="0.3">
      <c r="A22" s="99" t="s">
        <v>348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ht="18" customHeight="1" x14ac:dyDescent="0.3">
      <c r="A23" s="96" t="s">
        <v>349</v>
      </c>
      <c r="B23" s="74"/>
      <c r="C23" s="74"/>
      <c r="D23" s="74"/>
      <c r="E23" s="74"/>
      <c r="F23" s="74"/>
      <c r="G23" s="74"/>
      <c r="H23" s="75"/>
      <c r="I23" s="93" t="s">
        <v>350</v>
      </c>
      <c r="J23" s="79"/>
      <c r="K23" s="79"/>
      <c r="L23" s="80"/>
    </row>
    <row r="24" spans="1:12" ht="18" customHeight="1" x14ac:dyDescent="0.3">
      <c r="A24" s="92" t="s">
        <v>351</v>
      </c>
      <c r="B24" s="74"/>
      <c r="C24" s="74"/>
      <c r="D24" s="74"/>
      <c r="E24" s="74"/>
      <c r="F24" s="74"/>
      <c r="G24" s="74"/>
      <c r="H24" s="75"/>
      <c r="I24" s="94"/>
      <c r="J24" s="72"/>
      <c r="K24" s="72"/>
      <c r="L24" s="95"/>
    </row>
    <row r="25" spans="1:12" ht="18" customHeight="1" x14ac:dyDescent="0.3">
      <c r="A25" s="96" t="s">
        <v>352</v>
      </c>
      <c r="B25" s="74"/>
      <c r="C25" s="74"/>
      <c r="D25" s="74"/>
      <c r="E25" s="74"/>
      <c r="F25" s="74"/>
      <c r="G25" s="74"/>
      <c r="H25" s="75"/>
      <c r="I25" s="94"/>
      <c r="J25" s="72"/>
      <c r="K25" s="72"/>
      <c r="L25" s="95"/>
    </row>
    <row r="26" spans="1:12" ht="18" customHeight="1" x14ac:dyDescent="0.3">
      <c r="A26" s="92" t="s">
        <v>353</v>
      </c>
      <c r="B26" s="74"/>
      <c r="C26" s="74"/>
      <c r="D26" s="74"/>
      <c r="E26" s="74"/>
      <c r="F26" s="74"/>
      <c r="G26" s="74"/>
      <c r="H26" s="75"/>
      <c r="I26" s="94"/>
      <c r="J26" s="72"/>
      <c r="K26" s="72"/>
      <c r="L26" s="95"/>
    </row>
    <row r="27" spans="1:12" ht="18" customHeight="1" x14ac:dyDescent="0.3">
      <c r="A27" s="96" t="s">
        <v>354</v>
      </c>
      <c r="B27" s="74"/>
      <c r="C27" s="74"/>
      <c r="D27" s="74"/>
      <c r="E27" s="74"/>
      <c r="F27" s="74"/>
      <c r="G27" s="74"/>
      <c r="H27" s="75"/>
      <c r="I27" s="94"/>
      <c r="J27" s="72"/>
      <c r="K27" s="72"/>
      <c r="L27" s="95"/>
    </row>
    <row r="28" spans="1:12" ht="18" customHeight="1" x14ac:dyDescent="0.3">
      <c r="A28" s="92" t="s">
        <v>355</v>
      </c>
      <c r="B28" s="74"/>
      <c r="C28" s="74"/>
      <c r="D28" s="74"/>
      <c r="E28" s="74"/>
      <c r="F28" s="74"/>
      <c r="G28" s="74"/>
      <c r="H28" s="75"/>
      <c r="I28" s="81"/>
      <c r="J28" s="82"/>
      <c r="K28" s="82"/>
      <c r="L28" s="83"/>
    </row>
    <row r="30" spans="1:12" ht="22.05" customHeight="1" x14ac:dyDescent="0.3">
      <c r="A30" s="97" t="s">
        <v>356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ht="18" customHeight="1" x14ac:dyDescent="0.3">
      <c r="A31" s="96" t="s">
        <v>357</v>
      </c>
      <c r="B31" s="74"/>
      <c r="C31" s="74"/>
      <c r="D31" s="74"/>
      <c r="E31" s="74"/>
      <c r="F31" s="74"/>
      <c r="G31" s="74"/>
      <c r="H31" s="75"/>
      <c r="I31" s="93" t="s">
        <v>358</v>
      </c>
      <c r="J31" s="79"/>
      <c r="K31" s="79"/>
      <c r="L31" s="80"/>
    </row>
    <row r="32" spans="1:12" ht="18" customHeight="1" x14ac:dyDescent="0.3">
      <c r="A32" s="92" t="s">
        <v>359</v>
      </c>
      <c r="B32" s="74"/>
      <c r="C32" s="74"/>
      <c r="D32" s="74"/>
      <c r="E32" s="74"/>
      <c r="F32" s="74"/>
      <c r="G32" s="74"/>
      <c r="H32" s="75"/>
      <c r="I32" s="94"/>
      <c r="J32" s="72"/>
      <c r="K32" s="72"/>
      <c r="L32" s="95"/>
    </row>
    <row r="33" spans="1:12" ht="18" customHeight="1" x14ac:dyDescent="0.3">
      <c r="A33" s="96" t="s">
        <v>360</v>
      </c>
      <c r="B33" s="74"/>
      <c r="C33" s="74"/>
      <c r="D33" s="74"/>
      <c r="E33" s="74"/>
      <c r="F33" s="74"/>
      <c r="G33" s="74"/>
      <c r="H33" s="75"/>
      <c r="I33" s="94"/>
      <c r="J33" s="72"/>
      <c r="K33" s="72"/>
      <c r="L33" s="95"/>
    </row>
    <row r="34" spans="1:12" ht="18" customHeight="1" x14ac:dyDescent="0.3">
      <c r="A34" s="92" t="s">
        <v>361</v>
      </c>
      <c r="B34" s="74"/>
      <c r="C34" s="74"/>
      <c r="D34" s="74"/>
      <c r="E34" s="74"/>
      <c r="F34" s="74"/>
      <c r="G34" s="74"/>
      <c r="H34" s="75"/>
      <c r="I34" s="94"/>
      <c r="J34" s="72"/>
      <c r="K34" s="72"/>
      <c r="L34" s="95"/>
    </row>
    <row r="35" spans="1:12" ht="18" customHeight="1" x14ac:dyDescent="0.3">
      <c r="A35" s="96" t="s">
        <v>362</v>
      </c>
      <c r="B35" s="74"/>
      <c r="C35" s="74"/>
      <c r="D35" s="74"/>
      <c r="E35" s="74"/>
      <c r="F35" s="74"/>
      <c r="G35" s="74"/>
      <c r="H35" s="75"/>
      <c r="I35" s="94"/>
      <c r="J35" s="72"/>
      <c r="K35" s="72"/>
      <c r="L35" s="95"/>
    </row>
    <row r="36" spans="1:12" ht="18" customHeight="1" x14ac:dyDescent="0.3">
      <c r="A36" s="92" t="s">
        <v>363</v>
      </c>
      <c r="B36" s="74"/>
      <c r="C36" s="74"/>
      <c r="D36" s="74"/>
      <c r="E36" s="74"/>
      <c r="F36" s="74"/>
      <c r="G36" s="74"/>
      <c r="H36" s="75"/>
      <c r="I36" s="81"/>
      <c r="J36" s="82"/>
      <c r="K36" s="82"/>
      <c r="L36" s="83"/>
    </row>
    <row r="39" spans="1:12" x14ac:dyDescent="0.3">
      <c r="A39" s="91" t="s">
        <v>364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2" ht="30" customHeight="1" x14ac:dyDescent="0.3">
      <c r="A40" s="2" t="s">
        <v>365</v>
      </c>
      <c r="B40" s="2" t="s">
        <v>366</v>
      </c>
      <c r="C40" s="2" t="s">
        <v>367</v>
      </c>
      <c r="D40" s="2" t="s">
        <v>368</v>
      </c>
      <c r="E40" s="2" t="s">
        <v>369</v>
      </c>
      <c r="F40" s="2" t="s">
        <v>370</v>
      </c>
      <c r="G40" s="2" t="s">
        <v>371</v>
      </c>
      <c r="H40" s="2" t="s">
        <v>372</v>
      </c>
    </row>
    <row r="41" spans="1:12" ht="30" customHeight="1" x14ac:dyDescent="0.3">
      <c r="A41" s="3" t="s">
        <v>373</v>
      </c>
      <c r="B41" s="26" t="s">
        <v>374</v>
      </c>
      <c r="C41" s="26" t="s">
        <v>375</v>
      </c>
      <c r="D41" s="26" t="s">
        <v>167</v>
      </c>
      <c r="E41" s="33" t="s">
        <v>375</v>
      </c>
      <c r="F41" s="4" t="s">
        <v>376</v>
      </c>
      <c r="G41" s="26" t="s">
        <v>377</v>
      </c>
      <c r="H41" s="45" t="s">
        <v>378</v>
      </c>
    </row>
    <row r="42" spans="1:12" ht="30" customHeight="1" x14ac:dyDescent="0.3">
      <c r="A42" s="9" t="s">
        <v>379</v>
      </c>
      <c r="B42" s="24" t="s">
        <v>380</v>
      </c>
      <c r="C42" s="24" t="s">
        <v>381</v>
      </c>
      <c r="D42" s="24" t="s">
        <v>158</v>
      </c>
      <c r="E42" s="33" t="s">
        <v>375</v>
      </c>
      <c r="F42" s="10" t="s">
        <v>382</v>
      </c>
      <c r="G42" s="24" t="s">
        <v>383</v>
      </c>
      <c r="H42" s="45" t="s">
        <v>378</v>
      </c>
    </row>
    <row r="43" spans="1:12" ht="30" customHeight="1" x14ac:dyDescent="0.3">
      <c r="A43" s="3" t="s">
        <v>384</v>
      </c>
      <c r="B43" s="26" t="s">
        <v>385</v>
      </c>
      <c r="C43" s="26" t="s">
        <v>375</v>
      </c>
      <c r="D43" s="26" t="s">
        <v>167</v>
      </c>
      <c r="E43" s="33" t="s">
        <v>375</v>
      </c>
      <c r="F43" s="4" t="s">
        <v>386</v>
      </c>
      <c r="G43" s="26" t="s">
        <v>387</v>
      </c>
      <c r="H43" s="45" t="s">
        <v>378</v>
      </c>
    </row>
    <row r="44" spans="1:12" ht="30" customHeight="1" x14ac:dyDescent="0.3">
      <c r="A44" s="9" t="s">
        <v>388</v>
      </c>
      <c r="B44" s="24" t="s">
        <v>389</v>
      </c>
      <c r="C44" s="24" t="s">
        <v>390</v>
      </c>
      <c r="D44" s="24" t="s">
        <v>159</v>
      </c>
      <c r="E44" s="33" t="s">
        <v>375</v>
      </c>
      <c r="F44" s="10" t="s">
        <v>391</v>
      </c>
      <c r="G44" s="24" t="s">
        <v>392</v>
      </c>
      <c r="H44" s="45" t="s">
        <v>378</v>
      </c>
    </row>
    <row r="45" spans="1:12" ht="30" customHeight="1" x14ac:dyDescent="0.3">
      <c r="A45" s="3" t="s">
        <v>393</v>
      </c>
      <c r="B45" s="26" t="s">
        <v>394</v>
      </c>
      <c r="C45" s="26" t="s">
        <v>390</v>
      </c>
      <c r="D45" s="26" t="s">
        <v>167</v>
      </c>
      <c r="E45" s="35" t="s">
        <v>390</v>
      </c>
      <c r="F45" s="4" t="s">
        <v>395</v>
      </c>
      <c r="G45" s="26" t="s">
        <v>396</v>
      </c>
      <c r="H45" s="45" t="s">
        <v>378</v>
      </c>
    </row>
    <row r="46" spans="1:12" ht="30" customHeight="1" x14ac:dyDescent="0.3">
      <c r="A46" s="9" t="s">
        <v>397</v>
      </c>
      <c r="B46" s="24" t="s">
        <v>380</v>
      </c>
      <c r="C46" s="24" t="s">
        <v>390</v>
      </c>
      <c r="D46" s="24" t="s">
        <v>159</v>
      </c>
      <c r="E46" s="35" t="s">
        <v>390</v>
      </c>
      <c r="F46" s="10" t="s">
        <v>398</v>
      </c>
      <c r="G46" s="24" t="s">
        <v>399</v>
      </c>
      <c r="H46" s="45" t="s">
        <v>378</v>
      </c>
    </row>
    <row r="47" spans="1:12" ht="30" customHeight="1" x14ac:dyDescent="0.3">
      <c r="A47" s="3" t="s">
        <v>400</v>
      </c>
      <c r="B47" s="26" t="s">
        <v>380</v>
      </c>
      <c r="C47" s="26" t="s">
        <v>390</v>
      </c>
      <c r="D47" s="26" t="s">
        <v>159</v>
      </c>
      <c r="E47" s="33" t="s">
        <v>375</v>
      </c>
      <c r="F47" s="4" t="s">
        <v>401</v>
      </c>
      <c r="G47" s="26" t="s">
        <v>402</v>
      </c>
      <c r="H47" s="45" t="s">
        <v>378</v>
      </c>
    </row>
    <row r="48" spans="1:12" ht="30" customHeight="1" x14ac:dyDescent="0.3">
      <c r="A48" s="9" t="s">
        <v>403</v>
      </c>
      <c r="B48" s="24" t="s">
        <v>389</v>
      </c>
      <c r="C48" s="24" t="s">
        <v>390</v>
      </c>
      <c r="D48" s="24" t="s">
        <v>167</v>
      </c>
      <c r="E48" s="35" t="s">
        <v>390</v>
      </c>
      <c r="F48" s="10" t="s">
        <v>404</v>
      </c>
      <c r="G48" s="24" t="s">
        <v>405</v>
      </c>
      <c r="H48" s="45" t="s">
        <v>378</v>
      </c>
    </row>
    <row r="49" spans="1:8" ht="30" customHeight="1" x14ac:dyDescent="0.3">
      <c r="A49" s="3" t="s">
        <v>406</v>
      </c>
      <c r="B49" s="26" t="s">
        <v>380</v>
      </c>
      <c r="C49" s="26" t="s">
        <v>390</v>
      </c>
      <c r="D49" s="26" t="s">
        <v>167</v>
      </c>
      <c r="E49" s="35" t="s">
        <v>390</v>
      </c>
      <c r="F49" s="4" t="s">
        <v>407</v>
      </c>
      <c r="G49" s="26" t="s">
        <v>383</v>
      </c>
      <c r="H49" s="45" t="s">
        <v>378</v>
      </c>
    </row>
    <row r="50" spans="1:8" ht="30" customHeight="1" x14ac:dyDescent="0.3">
      <c r="A50" s="9" t="s">
        <v>408</v>
      </c>
      <c r="B50" s="24" t="s">
        <v>380</v>
      </c>
      <c r="C50" s="24" t="s">
        <v>375</v>
      </c>
      <c r="D50" s="24" t="s">
        <v>159</v>
      </c>
      <c r="E50" s="37" t="s">
        <v>381</v>
      </c>
      <c r="F50" s="10" t="s">
        <v>409</v>
      </c>
      <c r="G50" s="24" t="s">
        <v>410</v>
      </c>
      <c r="H50" s="37" t="s">
        <v>411</v>
      </c>
    </row>
  </sheetData>
  <mergeCells count="36">
    <mergeCell ref="A11:H11"/>
    <mergeCell ref="I15:L20"/>
    <mergeCell ref="A33:H33"/>
    <mergeCell ref="A32:H32"/>
    <mergeCell ref="A1:L2"/>
    <mergeCell ref="A14:L14"/>
    <mergeCell ref="A22:L22"/>
    <mergeCell ref="I7:L12"/>
    <mergeCell ref="A27:H27"/>
    <mergeCell ref="A12:H12"/>
    <mergeCell ref="A18:H18"/>
    <mergeCell ref="A26:H26"/>
    <mergeCell ref="A23:H23"/>
    <mergeCell ref="A6:L6"/>
    <mergeCell ref="A3:L3"/>
    <mergeCell ref="A7:H7"/>
    <mergeCell ref="A25:H25"/>
    <mergeCell ref="A16:H16"/>
    <mergeCell ref="A5:L5"/>
    <mergeCell ref="A9:H9"/>
    <mergeCell ref="A39:L39"/>
    <mergeCell ref="A8:H8"/>
    <mergeCell ref="I23:L28"/>
    <mergeCell ref="A17:H17"/>
    <mergeCell ref="A30:L30"/>
    <mergeCell ref="A35:H35"/>
    <mergeCell ref="A20:H20"/>
    <mergeCell ref="A10:H10"/>
    <mergeCell ref="A28:H28"/>
    <mergeCell ref="A19:H19"/>
    <mergeCell ref="A31:H31"/>
    <mergeCell ref="A34:H34"/>
    <mergeCell ref="A15:H15"/>
    <mergeCell ref="I31:L36"/>
    <mergeCell ref="A24:H24"/>
    <mergeCell ref="A36:H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showGridLines="0" workbookViewId="0">
      <selection sqref="A1:L2"/>
    </sheetView>
  </sheetViews>
  <sheetFormatPr baseColWidth="10" defaultColWidth="8.88671875" defaultRowHeight="14.4" x14ac:dyDescent="0.3"/>
  <cols>
    <col min="1" max="1" width="22" customWidth="1"/>
    <col min="2" max="2" width="20" customWidth="1"/>
    <col min="3" max="3" width="35" customWidth="1"/>
    <col min="4" max="4" width="10" customWidth="1"/>
    <col min="5" max="5" width="35" customWidth="1"/>
    <col min="6" max="7" width="10" customWidth="1"/>
    <col min="8" max="8" width="40" customWidth="1"/>
  </cols>
  <sheetData>
    <row r="1" spans="1:12" x14ac:dyDescent="0.3">
      <c r="A1" s="87" t="s">
        <v>412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12" x14ac:dyDescent="0.3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2" x14ac:dyDescent="0.3">
      <c r="A3" s="88" t="s">
        <v>413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5"/>
    </row>
    <row r="5" spans="1:12" ht="34.950000000000003" customHeight="1" x14ac:dyDescent="0.3">
      <c r="A5" s="2" t="s">
        <v>414</v>
      </c>
      <c r="B5" s="2" t="s">
        <v>415</v>
      </c>
      <c r="C5" s="2" t="s">
        <v>416</v>
      </c>
      <c r="D5" s="2" t="s">
        <v>417</v>
      </c>
      <c r="E5" s="2" t="s">
        <v>418</v>
      </c>
      <c r="F5" s="2" t="s">
        <v>419</v>
      </c>
      <c r="G5" s="2" t="s">
        <v>420</v>
      </c>
      <c r="H5" s="2" t="s">
        <v>421</v>
      </c>
    </row>
    <row r="6" spans="1:12" ht="40.049999999999997" customHeight="1" x14ac:dyDescent="0.3">
      <c r="A6" s="1" t="s">
        <v>422</v>
      </c>
      <c r="B6" s="3" t="s">
        <v>423</v>
      </c>
      <c r="C6" s="46" t="s">
        <v>424</v>
      </c>
      <c r="D6" s="47">
        <v>3.5</v>
      </c>
      <c r="E6" s="48" t="s">
        <v>425</v>
      </c>
      <c r="F6" s="49">
        <v>4.5</v>
      </c>
      <c r="G6" s="38" t="s">
        <v>426</v>
      </c>
      <c r="H6" s="4" t="s">
        <v>427</v>
      </c>
    </row>
    <row r="7" spans="1:12" ht="40.049999999999997" customHeight="1" x14ac:dyDescent="0.3">
      <c r="A7" s="50" t="s">
        <v>422</v>
      </c>
      <c r="B7" s="9" t="s">
        <v>428</v>
      </c>
      <c r="C7" s="46" t="s">
        <v>429</v>
      </c>
      <c r="D7" s="47">
        <v>3</v>
      </c>
      <c r="E7" s="48" t="s">
        <v>430</v>
      </c>
      <c r="F7" s="49">
        <v>4.5</v>
      </c>
      <c r="G7" s="38" t="s">
        <v>431</v>
      </c>
      <c r="H7" s="10" t="s">
        <v>432</v>
      </c>
    </row>
    <row r="8" spans="1:12" ht="40.049999999999997" customHeight="1" x14ac:dyDescent="0.3">
      <c r="A8" s="50" t="s">
        <v>422</v>
      </c>
      <c r="B8" s="3" t="s">
        <v>433</v>
      </c>
      <c r="C8" s="46" t="s">
        <v>434</v>
      </c>
      <c r="D8" s="47">
        <v>3.5</v>
      </c>
      <c r="E8" s="48" t="s">
        <v>435</v>
      </c>
      <c r="F8" s="49">
        <v>4.5</v>
      </c>
      <c r="G8" s="38" t="s">
        <v>426</v>
      </c>
      <c r="H8" s="4" t="s">
        <v>436</v>
      </c>
    </row>
    <row r="9" spans="1:12" ht="40.049999999999997" customHeight="1" x14ac:dyDescent="0.3">
      <c r="A9" s="1" t="s">
        <v>437</v>
      </c>
      <c r="B9" s="9" t="s">
        <v>438</v>
      </c>
      <c r="C9" s="46" t="s">
        <v>439</v>
      </c>
      <c r="D9" s="47">
        <v>4</v>
      </c>
      <c r="E9" s="48" t="s">
        <v>440</v>
      </c>
      <c r="F9" s="49">
        <v>4.5</v>
      </c>
      <c r="G9" s="38" t="s">
        <v>441</v>
      </c>
      <c r="H9" s="10" t="s">
        <v>442</v>
      </c>
    </row>
    <row r="10" spans="1:12" ht="40.049999999999997" customHeight="1" x14ac:dyDescent="0.3">
      <c r="A10" s="50" t="s">
        <v>437</v>
      </c>
      <c r="B10" s="3" t="s">
        <v>443</v>
      </c>
      <c r="C10" s="46" t="s">
        <v>444</v>
      </c>
      <c r="D10" s="47">
        <v>3.5</v>
      </c>
      <c r="E10" s="48" t="s">
        <v>445</v>
      </c>
      <c r="F10" s="49">
        <v>5</v>
      </c>
      <c r="G10" s="38" t="s">
        <v>431</v>
      </c>
      <c r="H10" s="4" t="s">
        <v>446</v>
      </c>
    </row>
    <row r="11" spans="1:12" ht="40.049999999999997" customHeight="1" x14ac:dyDescent="0.3">
      <c r="A11" s="50" t="s">
        <v>437</v>
      </c>
      <c r="B11" s="9" t="s">
        <v>447</v>
      </c>
      <c r="C11" s="46" t="s">
        <v>448</v>
      </c>
      <c r="D11" s="47">
        <v>3.5</v>
      </c>
      <c r="E11" s="48" t="s">
        <v>449</v>
      </c>
      <c r="F11" s="49">
        <v>4.5</v>
      </c>
      <c r="G11" s="38" t="s">
        <v>426</v>
      </c>
      <c r="H11" s="10" t="s">
        <v>450</v>
      </c>
    </row>
    <row r="12" spans="1:12" ht="40.049999999999997" customHeight="1" x14ac:dyDescent="0.3">
      <c r="A12" s="50" t="s">
        <v>437</v>
      </c>
      <c r="B12" s="3" t="s">
        <v>451</v>
      </c>
      <c r="C12" s="46" t="s">
        <v>452</v>
      </c>
      <c r="D12" s="47">
        <v>3.5</v>
      </c>
      <c r="E12" s="48" t="s">
        <v>453</v>
      </c>
      <c r="F12" s="49">
        <v>4.5</v>
      </c>
      <c r="G12" s="38" t="s">
        <v>426</v>
      </c>
      <c r="H12" s="4" t="s">
        <v>454</v>
      </c>
    </row>
    <row r="13" spans="1:12" ht="40.049999999999997" customHeight="1" x14ac:dyDescent="0.3">
      <c r="A13" s="1" t="s">
        <v>455</v>
      </c>
      <c r="B13" s="9" t="s">
        <v>456</v>
      </c>
      <c r="C13" s="46" t="s">
        <v>457</v>
      </c>
      <c r="D13" s="47">
        <v>4</v>
      </c>
      <c r="E13" s="48" t="s">
        <v>458</v>
      </c>
      <c r="F13" s="49">
        <v>4.5</v>
      </c>
      <c r="G13" s="38" t="s">
        <v>441</v>
      </c>
      <c r="H13" s="10" t="s">
        <v>459</v>
      </c>
    </row>
    <row r="14" spans="1:12" ht="40.049999999999997" customHeight="1" x14ac:dyDescent="0.3">
      <c r="A14" s="50" t="s">
        <v>455</v>
      </c>
      <c r="B14" s="3" t="s">
        <v>460</v>
      </c>
      <c r="C14" s="46" t="s">
        <v>461</v>
      </c>
      <c r="D14" s="47">
        <v>4</v>
      </c>
      <c r="E14" s="48" t="s">
        <v>462</v>
      </c>
      <c r="F14" s="49">
        <v>4.5</v>
      </c>
      <c r="G14" s="38" t="s">
        <v>441</v>
      </c>
      <c r="H14" s="4" t="s">
        <v>463</v>
      </c>
    </row>
    <row r="15" spans="1:12" ht="40.049999999999997" customHeight="1" x14ac:dyDescent="0.3">
      <c r="A15" s="50" t="s">
        <v>455</v>
      </c>
      <c r="B15" s="9" t="s">
        <v>464</v>
      </c>
      <c r="C15" s="46" t="s">
        <v>465</v>
      </c>
      <c r="D15" s="47">
        <v>4</v>
      </c>
      <c r="E15" s="48" t="s">
        <v>466</v>
      </c>
      <c r="F15" s="49">
        <v>4.5</v>
      </c>
      <c r="G15" s="38" t="s">
        <v>441</v>
      </c>
      <c r="H15" s="10" t="s">
        <v>467</v>
      </c>
    </row>
    <row r="16" spans="1:12" ht="40.049999999999997" customHeight="1" x14ac:dyDescent="0.3">
      <c r="A16" s="1" t="s">
        <v>468</v>
      </c>
      <c r="B16" s="3" t="s">
        <v>469</v>
      </c>
      <c r="C16" s="46" t="s">
        <v>470</v>
      </c>
      <c r="D16" s="47">
        <v>3.5</v>
      </c>
      <c r="E16" s="48" t="s">
        <v>471</v>
      </c>
      <c r="F16" s="49">
        <v>4.5</v>
      </c>
      <c r="G16" s="38" t="s">
        <v>426</v>
      </c>
      <c r="H16" s="4" t="s">
        <v>472</v>
      </c>
    </row>
    <row r="17" spans="1:8" ht="40.049999999999997" customHeight="1" x14ac:dyDescent="0.3">
      <c r="A17" s="50" t="s">
        <v>468</v>
      </c>
      <c r="B17" s="9" t="s">
        <v>473</v>
      </c>
      <c r="C17" s="46" t="s">
        <v>474</v>
      </c>
      <c r="D17" s="47">
        <v>3.5</v>
      </c>
      <c r="E17" s="48" t="s">
        <v>475</v>
      </c>
      <c r="F17" s="49">
        <v>4.5</v>
      </c>
      <c r="G17" s="38" t="s">
        <v>426</v>
      </c>
      <c r="H17" s="10" t="s">
        <v>476</v>
      </c>
    </row>
    <row r="18" spans="1:8" ht="40.049999999999997" customHeight="1" x14ac:dyDescent="0.3">
      <c r="A18" s="50" t="s">
        <v>468</v>
      </c>
      <c r="B18" s="3" t="s">
        <v>477</v>
      </c>
      <c r="C18" s="46" t="s">
        <v>478</v>
      </c>
      <c r="D18" s="47">
        <v>3</v>
      </c>
      <c r="E18" s="48" t="s">
        <v>479</v>
      </c>
      <c r="F18" s="49">
        <v>4</v>
      </c>
      <c r="G18" s="38" t="s">
        <v>426</v>
      </c>
      <c r="H18" s="4" t="s">
        <v>480</v>
      </c>
    </row>
    <row r="19" spans="1:8" ht="40.049999999999997" customHeight="1" x14ac:dyDescent="0.3">
      <c r="A19" s="1" t="s">
        <v>481</v>
      </c>
      <c r="B19" s="9" t="s">
        <v>482</v>
      </c>
      <c r="C19" s="46" t="s">
        <v>483</v>
      </c>
      <c r="D19" s="47">
        <v>3.5</v>
      </c>
      <c r="E19" s="48" t="s">
        <v>484</v>
      </c>
      <c r="F19" s="49">
        <v>4</v>
      </c>
      <c r="G19" s="38" t="s">
        <v>441</v>
      </c>
      <c r="H19" s="10" t="s">
        <v>485</v>
      </c>
    </row>
    <row r="20" spans="1:8" ht="40.049999999999997" customHeight="1" x14ac:dyDescent="0.3">
      <c r="A20" s="50" t="s">
        <v>481</v>
      </c>
      <c r="B20" s="3" t="s">
        <v>486</v>
      </c>
      <c r="C20" s="46" t="s">
        <v>487</v>
      </c>
      <c r="D20" s="47">
        <v>3</v>
      </c>
      <c r="E20" s="48" t="s">
        <v>488</v>
      </c>
      <c r="F20" s="49">
        <v>4.5</v>
      </c>
      <c r="G20" s="38" t="s">
        <v>431</v>
      </c>
      <c r="H20" s="4" t="s">
        <v>489</v>
      </c>
    </row>
    <row r="23" spans="1:8" x14ac:dyDescent="0.3">
      <c r="A23" s="89" t="s">
        <v>490</v>
      </c>
      <c r="B23" s="74"/>
      <c r="C23" s="74"/>
      <c r="D23" s="74"/>
      <c r="E23" s="74"/>
      <c r="F23" s="74"/>
      <c r="G23" s="74"/>
      <c r="H23" s="75"/>
    </row>
    <row r="24" spans="1:8" ht="22.05" customHeight="1" x14ac:dyDescent="0.3">
      <c r="A24" s="14" t="s">
        <v>414</v>
      </c>
      <c r="B24" s="14" t="s">
        <v>491</v>
      </c>
      <c r="C24" s="14" t="s">
        <v>492</v>
      </c>
      <c r="D24" s="14" t="s">
        <v>493</v>
      </c>
    </row>
    <row r="25" spans="1:8" ht="19.95" customHeight="1" x14ac:dyDescent="0.3">
      <c r="A25" s="3" t="s">
        <v>494</v>
      </c>
      <c r="B25" s="51">
        <v>3.333333333333333</v>
      </c>
      <c r="C25" s="52">
        <v>4.5</v>
      </c>
      <c r="D25" s="53" t="s">
        <v>495</v>
      </c>
    </row>
    <row r="26" spans="1:8" ht="19.95" customHeight="1" x14ac:dyDescent="0.3">
      <c r="A26" s="9" t="s">
        <v>437</v>
      </c>
      <c r="B26" s="51">
        <v>3.625</v>
      </c>
      <c r="C26" s="52">
        <v>4.625</v>
      </c>
      <c r="D26" s="53" t="s">
        <v>496</v>
      </c>
    </row>
    <row r="27" spans="1:8" ht="19.95" customHeight="1" x14ac:dyDescent="0.3">
      <c r="A27" s="3" t="s">
        <v>455</v>
      </c>
      <c r="B27" s="51">
        <v>4</v>
      </c>
      <c r="C27" s="52">
        <v>4.5</v>
      </c>
      <c r="D27" s="53" t="s">
        <v>497</v>
      </c>
    </row>
    <row r="28" spans="1:8" ht="19.95" customHeight="1" x14ac:dyDescent="0.3">
      <c r="A28" s="9" t="s">
        <v>468</v>
      </c>
      <c r="B28" s="51">
        <v>3.333333333333333</v>
      </c>
      <c r="C28" s="52">
        <v>4.333333333333333</v>
      </c>
      <c r="D28" s="53" t="s">
        <v>496</v>
      </c>
    </row>
    <row r="29" spans="1:8" ht="19.95" customHeight="1" x14ac:dyDescent="0.3">
      <c r="A29" s="3" t="s">
        <v>481</v>
      </c>
      <c r="B29" s="51">
        <v>3.25</v>
      </c>
      <c r="C29" s="52">
        <v>4.25</v>
      </c>
      <c r="D29" s="53" t="s">
        <v>496</v>
      </c>
    </row>
  </sheetData>
  <mergeCells count="3">
    <mergeCell ref="A23:H23"/>
    <mergeCell ref="A3:L3"/>
    <mergeCell ref="A1:L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 Resumen Ejecutivo TCO</vt:lpstr>
      <vt:lpstr>2. TCO 3 Años</vt:lpstr>
      <vt:lpstr>3. Costos por Ambiente</vt:lpstr>
      <vt:lpstr>4. FinOps Optimización</vt:lpstr>
      <vt:lpstr>5. Homologación Servicios</vt:lpstr>
      <vt:lpstr>6. Inversión y ROI</vt:lpstr>
      <vt:lpstr>7. Plan Migración y Riesgos</vt:lpstr>
      <vt:lpstr>8. ISO 25010 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Castillo, Mario</cp:lastModifiedBy>
  <dcterms:created xsi:type="dcterms:W3CDTF">2026-05-03T20:58:20Z</dcterms:created>
  <dcterms:modified xsi:type="dcterms:W3CDTF">2026-05-07T04:19:49Z</dcterms:modified>
</cp:coreProperties>
</file>